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About" sheetId="1" state="visible" r:id="rId1"/>
    <sheet xmlns:r="http://schemas.openxmlformats.org/officeDocument/2006/relationships" name="Ranking" sheetId="2" state="visible" r:id="rId2"/>
    <sheet xmlns:r="http://schemas.openxmlformats.org/officeDocument/2006/relationships" name="Criteria" sheetId="3" state="visible" r:id="rId3"/>
  </sheets>
  <definedNames>
    <definedName name="_xlnm._FilterDatabase" localSheetId="1" hidden="1">'Ranking'!$A$1:$R$57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sz val="10"/>
    </font>
    <font>
      <name val="Arial"/>
      <b val="1"/>
      <color rgb="00FFFFFF"/>
      <sz val="10"/>
    </font>
    <font>
      <name val="Arial"/>
      <b val="1"/>
      <sz val="10"/>
    </font>
    <font>
      <name val="Arial"/>
      <b val="1"/>
      <sz val="12"/>
    </font>
  </fonts>
  <fills count="4">
    <fill>
      <patternFill/>
    </fill>
    <fill>
      <patternFill patternType="gray125"/>
    </fill>
    <fill>
      <patternFill patternType="solid">
        <fgColor rgb="003A3A3A"/>
      </patternFill>
    </fill>
    <fill>
      <patternFill patternType="solid">
        <fgColor rgb="005B6B2E"/>
      </patternFill>
    </fill>
  </fills>
  <borders count="2">
    <border>
      <left/>
      <right/>
      <top/>
      <bottom/>
      <diagonal/>
    </border>
    <border>
      <left style="thin">
        <color rgb="00C8D1D5"/>
      </left>
      <right style="thin">
        <color rgb="00C8D1D5"/>
      </right>
      <top style="thin">
        <color rgb="00C8D1D5"/>
      </top>
      <bottom style="thin">
        <color rgb="00C8D1D5"/>
      </bottom>
    </border>
  </borders>
  <cellStyleXfs count="1">
    <xf numFmtId="0" fontId="0" fillId="0" borderId="0"/>
  </cellStyleXfs>
  <cellXfs count="11">
    <xf numFmtId="0" fontId="0" fillId="0" borderId="0" pivotButton="0" quotePrefix="0" xfId="0"/>
    <xf numFmtId="0" fontId="4" fillId="0" borderId="0"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1" fillId="0" borderId="1" applyAlignment="1" pivotButton="0" quotePrefix="0" xfId="0">
      <alignment vertical="top" wrapText="1"/>
    </xf>
    <xf numFmtId="0" fontId="1" fillId="0" borderId="1" applyAlignment="1" pivotButton="0" quotePrefix="0" xfId="0">
      <alignment horizontal="center" vertical="top"/>
    </xf>
    <xf numFmtId="0" fontId="3" fillId="0" borderId="1" applyAlignment="1" pivotButton="0" quotePrefix="0" xfId="0">
      <alignment horizontal="center" vertical="top"/>
    </xf>
    <xf numFmtId="9" fontId="3" fillId="0" borderId="1" applyAlignment="1" pivotButton="0" quotePrefix="0" xfId="0">
      <alignment horizontal="center" vertical="top"/>
    </xf>
    <xf numFmtId="0" fontId="2"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Opt Out Kit</author>
  </authors>
  <commentList>
    <comment ref="I1" authorId="0" shapeId="0">
      <text>
        <t>Weighted double. Based on public actions reported through 2025; states with new laws may simply not have acted yet.</t>
      </text>
    </comment>
    <comment ref="L1" authorId="0" shapeId="0">
      <text>
        <t>Most explicit state constitutional rights limit government, not companies. California's also applies to private parties.</t>
      </text>
    </comment>
    <comment ref="M1" authorId="0" shapeId="0">
      <text>
        <t>Lower confidence: based mainly on a 2015 ACLU survey of state location-privacy laws; some states may have added protections since. The federal Carpenter decision (2018) already requires a warrant for historical cell-site records everywhere.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10" customWidth="1" min="1" max="1"/>
  </cols>
  <sheetData>
    <row r="1">
      <c r="A1" s="1" t="inlineStr">
        <is>
          <t>U.S. state and territory privacy ranking</t>
        </is>
      </c>
    </row>
    <row r="2">
      <c r="A2" s="2" t="inlineStr">
        <is>
          <t>Scores reflect protections in effect as of 2026-10-30, measured against the EU's GDPR as the benchmark. Laws signed but not yet in effect are noted and score 1 on 'Comprehensive law'.</t>
        </is>
      </c>
    </row>
    <row r="3">
      <c r="A3" s="2" t="inlineStr">
        <is>
          <t>Consumer score covers protection from companies (max 30, enforcement weighted double). Government score covers constitutional privacy rights and police access to data (max 6) and is kept separate so it doesn't mask the consumer score.</t>
        </is>
      </c>
    </row>
    <row r="4">
      <c r="A4" s="2" t="inlineStr">
        <is>
          <t>Score cells are shaded as a heat map, pale cream (0) through gold to green (3). They can be edited (whole numbers 0-3); totals, percentages and ranks recalculate. Change weights on the Criteria tab.</t>
        </is>
      </c>
    </row>
    <row r="5">
      <c r="A5" s="2" t="inlineStr">
        <is>
          <t>Many scores are judgment calls. The Notes column explains each state's notable features. Where no specific evidence was found, a state gets the default score for its category: for example, every state with a broad law in effect starts at collection 1, rights 3, brokers 1, sensitive 2, regulator 1.</t>
        </is>
      </c>
    </row>
    <row r="6">
      <c r="A6" s="2" t="inlineStr">
        <is>
          <t>Known limits: police-access scores rely mainly on a 2015 survey and may miss newer laws; enforcement reflects public actions through 2025; breach-law 30-day deadlines are confirmed only for the states marked; American Samoa and the Northern Mariana Islands had no breach law in the sources reviewed, which may reflect a gap in those sources.</t>
        </is>
      </c>
    </row>
    <row r="7">
      <c r="A7" s="3" t="inlineStr">
        <is>
          <t>Sources</t>
        </is>
      </c>
    </row>
    <row r="8">
      <c r="A8" s="2" t="inlineStr">
        <is>
          <t>State comprehensive laws and dates: ClauseAudit state privacy law tracker; Morgan Lewis, 'New US State Consumer Privacy Laws' (July 2026); MultiState (Oct. 28, 2026).</t>
        </is>
      </c>
    </row>
    <row r="9">
      <c r="A9" s="2" t="inlineStr">
        <is>
          <t>Enforcement: Future of Privacy Forum, 'U.S. Privacy Enforcement in 2025' (Feb. 2026); MultiState, 'How state AGs are policing consumer data practices' (Sept. 2026).</t>
        </is>
      </c>
    </row>
    <row r="10">
      <c r="A10" s="2" t="inlineStr">
        <is>
          <t>Police access: ACLU, 'Status of Location Privacy Legislation in the States' (2015); EPIC, State Location Privacy Policy.</t>
        </is>
      </c>
    </row>
    <row r="11">
      <c r="A11" s="2" t="inlineStr">
        <is>
          <t>Breach notification: DLA Piper, Data Protection Laws of the World (U.S. breach notification).</t>
        </is>
      </c>
    </row>
    <row r="12">
      <c r="A12" s="2" t="inlineStr">
        <is>
          <t>General information, not legal advice. Laws change every legislative session.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5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9"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70" customWidth="1" min="18" max="18"/>
  </cols>
  <sheetData>
    <row r="1" ht="44" customHeight="1">
      <c r="A1" s="4" t="inlineStr">
        <is>
          <t>Jurisdiction</t>
        </is>
      </c>
      <c r="B1" s="4" t="inlineStr">
        <is>
          <t>Type</t>
        </is>
      </c>
      <c r="C1" s="4" t="inlineStr">
        <is>
          <t>Comprehensive law</t>
        </is>
      </c>
      <c r="D1" s="4" t="inlineStr">
        <is>
          <t>Collection limits</t>
        </is>
      </c>
      <c r="E1" s="4" t="inlineStr">
        <is>
          <t>Individual rights</t>
        </is>
      </c>
      <c r="F1" s="4" t="inlineStr">
        <is>
          <t>Data brokers</t>
        </is>
      </c>
      <c r="G1" s="4" t="inlineStr">
        <is>
          <t>Sensitive data</t>
        </is>
      </c>
      <c r="H1" s="4" t="inlineStr">
        <is>
          <t>Regulator</t>
        </is>
      </c>
      <c r="I1" s="4" t="inlineStr">
        <is>
          <t>Enforcement record</t>
        </is>
      </c>
      <c r="J1" s="4" t="inlineStr">
        <is>
          <t>Personal remedies</t>
        </is>
      </c>
      <c r="K1" s="4" t="inlineStr">
        <is>
          <t>Breach notification</t>
        </is>
      </c>
      <c r="L1" s="5" t="inlineStr">
        <is>
          <t>Constitutional right</t>
        </is>
      </c>
      <c r="M1" s="5" t="inlineStr">
        <is>
          <t>Police access to data</t>
        </is>
      </c>
      <c r="N1" s="4" t="inlineStr">
        <is>
          <t>Consumer score</t>
        </is>
      </c>
      <c r="O1" s="4" t="inlineStr">
        <is>
          <t>Consumer %</t>
        </is>
      </c>
      <c r="P1" s="5" t="inlineStr">
        <is>
          <t>Government score</t>
        </is>
      </c>
      <c r="Q1" s="4" t="inlineStr">
        <is>
          <t>Consumer rank</t>
        </is>
      </c>
      <c r="R1" s="4" t="inlineStr">
        <is>
          <t>Notes and judgment calls</t>
        </is>
      </c>
    </row>
    <row r="2">
      <c r="A2" s="6" t="inlineStr">
        <is>
          <t>Alabama</t>
        </is>
      </c>
      <c r="B2" s="6" t="inlineStr">
        <is>
          <t>State</t>
        </is>
      </c>
      <c r="C2" s="7" t="n">
        <v>1</v>
      </c>
      <c r="D2" s="7" t="n">
        <v>0</v>
      </c>
      <c r="E2" s="7" t="n">
        <v>0</v>
      </c>
      <c r="F2" s="7" t="n">
        <v>0</v>
      </c>
      <c r="G2" s="7" t="n">
        <v>0</v>
      </c>
      <c r="H2" s="7" t="n">
        <v>0</v>
      </c>
      <c r="I2" s="7" t="n">
        <v>0</v>
      </c>
      <c r="J2" s="7" t="n">
        <v>1</v>
      </c>
      <c r="K2" s="7" t="n">
        <v>2</v>
      </c>
      <c r="L2" s="7" t="n">
        <v>0</v>
      </c>
      <c r="M2" s="7" t="n">
        <v>0</v>
      </c>
      <c r="N2" s="8">
        <f>C2*Criteria!$E$2+D2*Criteria!$E$3+E2*Criteria!$E$4+F2*Criteria!$E$5+G2*Criteria!$E$6+H2*Criteria!$E$7+I2*Criteria!$E$8+J2*Criteria!$E$9+K2*Criteria!$E$10</f>
        <v/>
      </c>
      <c r="O2" s="9">
        <f>N2/Criteria!$F$14</f>
        <v/>
      </c>
      <c r="P2" s="8">
        <f>L2+M2</f>
        <v/>
      </c>
      <c r="Q2" s="8">
        <f>RANK(N2,$N$2:$N$57)</f>
        <v/>
      </c>
      <c r="R2" s="6" t="inlineStr">
        <is>
          <t>Law signed in 2026, takes effect May 1, 2027; other scores rise then.</t>
        </is>
      </c>
    </row>
    <row r="3">
      <c r="A3" s="6" t="inlineStr">
        <is>
          <t>Alaska</t>
        </is>
      </c>
      <c r="B3" s="6" t="inlineStr">
        <is>
          <t>State</t>
        </is>
      </c>
      <c r="C3" s="7" t="n">
        <v>0</v>
      </c>
      <c r="D3" s="7" t="n">
        <v>0</v>
      </c>
      <c r="E3" s="7" t="n">
        <v>0</v>
      </c>
      <c r="F3" s="7" t="n">
        <v>0</v>
      </c>
      <c r="G3" s="7" t="n">
        <v>0</v>
      </c>
      <c r="H3" s="7" t="n">
        <v>0</v>
      </c>
      <c r="I3" s="7" t="n">
        <v>0</v>
      </c>
      <c r="J3" s="7" t="n">
        <v>1</v>
      </c>
      <c r="K3" s="7" t="n">
        <v>2</v>
      </c>
      <c r="L3" s="7" t="n">
        <v>2</v>
      </c>
      <c r="M3" s="7" t="n">
        <v>0</v>
      </c>
      <c r="N3" s="8">
        <f>C3*Criteria!$E$2+D3*Criteria!$E$3+E3*Criteria!$E$4+F3*Criteria!$E$5+G3*Criteria!$E$6+H3*Criteria!$E$7+I3*Criteria!$E$8+J3*Criteria!$E$9+K3*Criteria!$E$10</f>
        <v/>
      </c>
      <c r="O3" s="9">
        <f>N3/Criteria!$F$14</f>
        <v/>
      </c>
      <c r="P3" s="8">
        <f>L3+M3</f>
        <v/>
      </c>
      <c r="Q3" s="8">
        <f>RANK(N3,$N$2:$N$57)</f>
        <v/>
      </c>
      <c r="R3" s="6" t="inlineStr"/>
    </row>
    <row r="4">
      <c r="A4" s="6" t="inlineStr">
        <is>
          <t>Arizona</t>
        </is>
      </c>
      <c r="B4" s="6" t="inlineStr">
        <is>
          <t>State</t>
        </is>
      </c>
      <c r="C4" s="7" t="n">
        <v>0</v>
      </c>
      <c r="D4" s="7" t="n">
        <v>0</v>
      </c>
      <c r="E4" s="7" t="n">
        <v>0</v>
      </c>
      <c r="F4" s="7" t="n">
        <v>0</v>
      </c>
      <c r="G4" s="7" t="n">
        <v>0</v>
      </c>
      <c r="H4" s="7" t="n">
        <v>0</v>
      </c>
      <c r="I4" s="7" t="n">
        <v>0</v>
      </c>
      <c r="J4" s="7" t="n">
        <v>1</v>
      </c>
      <c r="K4" s="7" t="n">
        <v>2</v>
      </c>
      <c r="L4" s="7" t="n">
        <v>2</v>
      </c>
      <c r="M4" s="7" t="n">
        <v>0</v>
      </c>
      <c r="N4" s="8">
        <f>C4*Criteria!$E$2+D4*Criteria!$E$3+E4*Criteria!$E$4+F4*Criteria!$E$5+G4*Criteria!$E$6+H4*Criteria!$E$7+I4*Criteria!$E$8+J4*Criteria!$E$9+K4*Criteria!$E$10</f>
        <v/>
      </c>
      <c r="O4" s="9">
        <f>N4/Criteria!$F$14</f>
        <v/>
      </c>
      <c r="P4" s="8">
        <f>L4+M4</f>
        <v/>
      </c>
      <c r="Q4" s="8">
        <f>RANK(N4,$N$2:$N$57)</f>
        <v/>
      </c>
      <c r="R4" s="6" t="inlineStr"/>
    </row>
    <row r="5">
      <c r="A5" s="6" t="inlineStr">
        <is>
          <t>Arkansas</t>
        </is>
      </c>
      <c r="B5" s="6" t="inlineStr">
        <is>
          <t>State</t>
        </is>
      </c>
      <c r="C5" s="7" t="n">
        <v>0</v>
      </c>
      <c r="D5" s="7" t="n">
        <v>0</v>
      </c>
      <c r="E5" s="7" t="n">
        <v>0</v>
      </c>
      <c r="F5" s="7" t="n">
        <v>0</v>
      </c>
      <c r="G5" s="7" t="n">
        <v>0</v>
      </c>
      <c r="H5" s="7" t="n">
        <v>0</v>
      </c>
      <c r="I5" s="7" t="n">
        <v>0</v>
      </c>
      <c r="J5" s="7" t="n">
        <v>1</v>
      </c>
      <c r="K5" s="7" t="n">
        <v>2</v>
      </c>
      <c r="L5" s="7" t="n">
        <v>0</v>
      </c>
      <c r="M5" s="7" t="n">
        <v>0</v>
      </c>
      <c r="N5" s="8">
        <f>C5*Criteria!$E$2+D5*Criteria!$E$3+E5*Criteria!$E$4+F5*Criteria!$E$5+G5*Criteria!$E$6+H5*Criteria!$E$7+I5*Criteria!$E$8+J5*Criteria!$E$9+K5*Criteria!$E$10</f>
        <v/>
      </c>
      <c r="O5" s="9">
        <f>N5/Criteria!$F$14</f>
        <v/>
      </c>
      <c r="P5" s="8">
        <f>L5+M5</f>
        <v/>
      </c>
      <c r="Q5" s="8">
        <f>RANK(N5,$N$2:$N$57)</f>
        <v/>
      </c>
      <c r="R5" s="6" t="inlineStr"/>
    </row>
    <row r="6">
      <c r="A6" s="6" t="inlineStr">
        <is>
          <t>California</t>
        </is>
      </c>
      <c r="B6" s="6" t="inlineStr">
        <is>
          <t>State</t>
        </is>
      </c>
      <c r="C6" s="7" t="n">
        <v>3</v>
      </c>
      <c r="D6" s="7" t="n">
        <v>2</v>
      </c>
      <c r="E6" s="7" t="n">
        <v>3</v>
      </c>
      <c r="F6" s="7" t="n">
        <v>3</v>
      </c>
      <c r="G6" s="7" t="n">
        <v>2</v>
      </c>
      <c r="H6" s="7" t="n">
        <v>3</v>
      </c>
      <c r="I6" s="7" t="n">
        <v>3</v>
      </c>
      <c r="J6" s="7" t="n">
        <v>2</v>
      </c>
      <c r="K6" s="7" t="n">
        <v>2</v>
      </c>
      <c r="L6" s="7" t="n">
        <v>3</v>
      </c>
      <c r="M6" s="7" t="n">
        <v>3</v>
      </c>
      <c r="N6" s="8">
        <f>C6*Criteria!$E$2+D6*Criteria!$E$3+E6*Criteria!$E$4+F6*Criteria!$E$5+G6*Criteria!$E$6+H6*Criteria!$E$7+I6*Criteria!$E$8+J6*Criteria!$E$9+K6*Criteria!$E$10</f>
        <v/>
      </c>
      <c r="O6" s="9">
        <f>N6/Criteria!$F$14</f>
        <v/>
      </c>
      <c r="P6" s="8">
        <f>L6+M6</f>
        <v/>
      </c>
      <c r="Q6" s="8">
        <f>RANK(N6,$N$2:$N$57)</f>
        <v/>
      </c>
      <c r="R6" s="6" t="inlineStr">
        <is>
          <t>Only state with a dedicated privacy agency (CalPrivacy); DROP one-step broker deletion; repeated CCPA fines in 2025; constitutional privacy right applies to companies too.</t>
        </is>
      </c>
    </row>
    <row r="7">
      <c r="A7" s="6" t="inlineStr">
        <is>
          <t>Colorado</t>
        </is>
      </c>
      <c r="B7" s="6" t="inlineStr">
        <is>
          <t>State</t>
        </is>
      </c>
      <c r="C7" s="7" t="n">
        <v>3</v>
      </c>
      <c r="D7" s="7" t="n">
        <v>1</v>
      </c>
      <c r="E7" s="7" t="n">
        <v>3</v>
      </c>
      <c r="F7" s="7" t="n">
        <v>1</v>
      </c>
      <c r="G7" s="7" t="n">
        <v>2</v>
      </c>
      <c r="H7" s="7" t="n">
        <v>1</v>
      </c>
      <c r="I7" s="7" t="n">
        <v>0</v>
      </c>
      <c r="J7" s="7" t="n">
        <v>1</v>
      </c>
      <c r="K7" s="7" t="n">
        <v>3</v>
      </c>
      <c r="L7" s="7" t="n">
        <v>0</v>
      </c>
      <c r="M7" s="7" t="n">
        <v>2</v>
      </c>
      <c r="N7" s="8">
        <f>C7*Criteria!$E$2+D7*Criteria!$E$3+E7*Criteria!$E$4+F7*Criteria!$E$5+G7*Criteria!$E$6+H7*Criteria!$E$7+I7*Criteria!$E$8+J7*Criteria!$E$9+K7*Criteria!$E$10</f>
        <v/>
      </c>
      <c r="O7" s="9">
        <f>N7/Criteria!$F$14</f>
        <v/>
      </c>
      <c r="P7" s="8">
        <f>L7+M7</f>
        <v/>
      </c>
      <c r="Q7" s="8">
        <f>RANK(N7,$N$2:$N$57)</f>
        <v/>
      </c>
      <c r="R7" s="6" t="inlineStr"/>
    </row>
    <row r="8">
      <c r="A8" s="6" t="inlineStr">
        <is>
          <t>Connecticut</t>
        </is>
      </c>
      <c r="B8" s="6" t="inlineStr">
        <is>
          <t>State</t>
        </is>
      </c>
      <c r="C8" s="7" t="n">
        <v>3</v>
      </c>
      <c r="D8" s="7" t="n">
        <v>1</v>
      </c>
      <c r="E8" s="7" t="n">
        <v>3</v>
      </c>
      <c r="F8" s="7" t="n">
        <v>1</v>
      </c>
      <c r="G8" s="7" t="n">
        <v>2</v>
      </c>
      <c r="H8" s="7" t="n">
        <v>2</v>
      </c>
      <c r="I8" s="7" t="n">
        <v>2</v>
      </c>
      <c r="J8" s="7" t="n">
        <v>1</v>
      </c>
      <c r="K8" s="7" t="n">
        <v>2</v>
      </c>
      <c r="L8" s="7" t="n">
        <v>0</v>
      </c>
      <c r="M8" s="7" t="n">
        <v>0</v>
      </c>
      <c r="N8" s="8">
        <f>C8*Criteria!$E$2+D8*Criteria!$E$3+E8*Criteria!$E$4+F8*Criteria!$E$5+G8*Criteria!$E$6+H8*Criteria!$E$7+I8*Criteria!$E$8+J8*Criteria!$E$9+K8*Criteria!$E$10</f>
        <v/>
      </c>
      <c r="O8" s="9">
        <f>N8/Criteria!$F$14</f>
        <v/>
      </c>
      <c r="P8" s="8">
        <f>L8+M8</f>
        <v/>
      </c>
      <c r="Q8" s="8">
        <f>RANK(N8,$N$2:$N$57)</f>
        <v/>
      </c>
      <c r="R8" s="6" t="inlineStr">
        <is>
          <t>AG publishes annual privacy enforcement reports; CTDPA penalties in 2025.</t>
        </is>
      </c>
    </row>
    <row r="9">
      <c r="A9" s="6" t="inlineStr">
        <is>
          <t>Delaware</t>
        </is>
      </c>
      <c r="B9" s="6" t="inlineStr">
        <is>
          <t>State</t>
        </is>
      </c>
      <c r="C9" s="7" t="n">
        <v>3</v>
      </c>
      <c r="D9" s="7" t="n">
        <v>1</v>
      </c>
      <c r="E9" s="7" t="n">
        <v>3</v>
      </c>
      <c r="F9" s="7" t="n">
        <v>1</v>
      </c>
      <c r="G9" s="7" t="n">
        <v>2</v>
      </c>
      <c r="H9" s="7" t="n">
        <v>1</v>
      </c>
      <c r="I9" s="7" t="n">
        <v>0</v>
      </c>
      <c r="J9" s="7" t="n">
        <v>1</v>
      </c>
      <c r="K9" s="7" t="n">
        <v>2</v>
      </c>
      <c r="L9" s="7" t="n">
        <v>0</v>
      </c>
      <c r="M9" s="7" t="n">
        <v>0</v>
      </c>
      <c r="N9" s="8">
        <f>C9*Criteria!$E$2+D9*Criteria!$E$3+E9*Criteria!$E$4+F9*Criteria!$E$5+G9*Criteria!$E$6+H9*Criteria!$E$7+I9*Criteria!$E$8+J9*Criteria!$E$9+K9*Criteria!$E$10</f>
        <v/>
      </c>
      <c r="O9" s="9">
        <f>N9/Criteria!$F$14</f>
        <v/>
      </c>
      <c r="P9" s="8">
        <f>L9+M9</f>
        <v/>
      </c>
      <c r="Q9" s="8">
        <f>RANK(N9,$N$2:$N$57)</f>
        <v/>
      </c>
      <c r="R9" s="6" t="inlineStr"/>
    </row>
    <row r="10">
      <c r="A10" s="6" t="inlineStr">
        <is>
          <t>District of Columbia</t>
        </is>
      </c>
      <c r="B10" s="6" t="inlineStr">
        <is>
          <t>District</t>
        </is>
      </c>
      <c r="C10" s="7" t="n">
        <v>0</v>
      </c>
      <c r="D10" s="7" t="n">
        <v>0</v>
      </c>
      <c r="E10" s="7" t="n">
        <v>0</v>
      </c>
      <c r="F10" s="7" t="n">
        <v>0</v>
      </c>
      <c r="G10" s="7" t="n">
        <v>0</v>
      </c>
      <c r="H10" s="7" t="n">
        <v>0</v>
      </c>
      <c r="I10" s="7" t="n">
        <v>0</v>
      </c>
      <c r="J10" s="7" t="n">
        <v>1</v>
      </c>
      <c r="K10" s="7" t="n">
        <v>2</v>
      </c>
      <c r="L10" s="7" t="n">
        <v>0</v>
      </c>
      <c r="M10" s="7" t="n">
        <v>0</v>
      </c>
      <c r="N10" s="8">
        <f>C10*Criteria!$E$2+D10*Criteria!$E$3+E10*Criteria!$E$4+F10*Criteria!$E$5+G10*Criteria!$E$6+H10*Criteria!$E$7+I10*Criteria!$E$8+J10*Criteria!$E$9+K10*Criteria!$E$10</f>
        <v/>
      </c>
      <c r="O10" s="9">
        <f>N10/Criteria!$F$14</f>
        <v/>
      </c>
      <c r="P10" s="8">
        <f>L10+M10</f>
        <v/>
      </c>
      <c r="Q10" s="8">
        <f>RANK(N10,$N$2:$N$57)</f>
        <v/>
      </c>
      <c r="R10" s="6" t="inlineStr"/>
    </row>
    <row r="11">
      <c r="A11" s="6" t="inlineStr">
        <is>
          <t>Florida</t>
        </is>
      </c>
      <c r="B11" s="6" t="inlineStr">
        <is>
          <t>State</t>
        </is>
      </c>
      <c r="C11" s="7" t="n">
        <v>1</v>
      </c>
      <c r="D11" s="7" t="n">
        <v>0</v>
      </c>
      <c r="E11" s="7" t="n">
        <v>1</v>
      </c>
      <c r="F11" s="7" t="n">
        <v>0</v>
      </c>
      <c r="G11" s="7" t="n">
        <v>1</v>
      </c>
      <c r="H11" s="7" t="n">
        <v>1</v>
      </c>
      <c r="I11" s="7" t="n">
        <v>1</v>
      </c>
      <c r="J11" s="7" t="n">
        <v>1</v>
      </c>
      <c r="K11" s="7" t="n">
        <v>3</v>
      </c>
      <c r="L11" s="7" t="n">
        <v>2</v>
      </c>
      <c r="M11" s="7" t="n">
        <v>2</v>
      </c>
      <c r="N11" s="8">
        <f>C11*Criteria!$E$2+D11*Criteria!$E$3+E11*Criteria!$E$4+F11*Criteria!$E$5+G11*Criteria!$E$6+H11*Criteria!$E$7+I11*Criteria!$E$8+J11*Criteria!$E$9+K11*Criteria!$E$10</f>
        <v/>
      </c>
      <c r="O11" s="9">
        <f>N11/Criteria!$F$14</f>
        <v/>
      </c>
      <c r="P11" s="8">
        <f>L11+M11</f>
        <v/>
      </c>
      <c r="Q11" s="8">
        <f>RANK(N11,$N$2:$N$57)</f>
        <v/>
      </c>
      <c r="R11" s="6" t="inlineStr">
        <is>
          <t>Florida Digital Bill of Rights covers only very large companies. AG sued Roku under the Digital Bill of Rights (2025).</t>
        </is>
      </c>
    </row>
    <row r="12">
      <c r="A12" s="6" t="inlineStr">
        <is>
          <t>Georgia</t>
        </is>
      </c>
      <c r="B12" s="6" t="inlineStr">
        <is>
          <t>State</t>
        </is>
      </c>
      <c r="C12" s="7" t="n">
        <v>0</v>
      </c>
      <c r="D12" s="7" t="n">
        <v>0</v>
      </c>
      <c r="E12" s="7" t="n">
        <v>0</v>
      </c>
      <c r="F12" s="7" t="n">
        <v>0</v>
      </c>
      <c r="G12" s="7" t="n">
        <v>0</v>
      </c>
      <c r="H12" s="7" t="n">
        <v>0</v>
      </c>
      <c r="I12" s="7" t="n">
        <v>0</v>
      </c>
      <c r="J12" s="7" t="n">
        <v>1</v>
      </c>
      <c r="K12" s="7" t="n">
        <v>2</v>
      </c>
      <c r="L12" s="7" t="n">
        <v>0</v>
      </c>
      <c r="M12" s="7" t="n">
        <v>0</v>
      </c>
      <c r="N12" s="8">
        <f>C12*Criteria!$E$2+D12*Criteria!$E$3+E12*Criteria!$E$4+F12*Criteria!$E$5+G12*Criteria!$E$6+H12*Criteria!$E$7+I12*Criteria!$E$8+J12*Criteria!$E$9+K12*Criteria!$E$10</f>
        <v/>
      </c>
      <c r="O12" s="9">
        <f>N12/Criteria!$F$14</f>
        <v/>
      </c>
      <c r="P12" s="8">
        <f>L12+M12</f>
        <v/>
      </c>
      <c r="Q12" s="8">
        <f>RANK(N12,$N$2:$N$57)</f>
        <v/>
      </c>
      <c r="R12" s="6" t="inlineStr"/>
    </row>
    <row r="13">
      <c r="A13" s="6" t="inlineStr">
        <is>
          <t>Hawaii</t>
        </is>
      </c>
      <c r="B13" s="6" t="inlineStr">
        <is>
          <t>State</t>
        </is>
      </c>
      <c r="C13" s="7" t="n">
        <v>0</v>
      </c>
      <c r="D13" s="7" t="n">
        <v>0</v>
      </c>
      <c r="E13" s="7" t="n">
        <v>0</v>
      </c>
      <c r="F13" s="7" t="n">
        <v>0</v>
      </c>
      <c r="G13" s="7" t="n">
        <v>0</v>
      </c>
      <c r="H13" s="7" t="n">
        <v>0</v>
      </c>
      <c r="I13" s="7" t="n">
        <v>0</v>
      </c>
      <c r="J13" s="7" t="n">
        <v>1</v>
      </c>
      <c r="K13" s="7" t="n">
        <v>2</v>
      </c>
      <c r="L13" s="7" t="n">
        <v>2</v>
      </c>
      <c r="M13" s="7" t="n">
        <v>0</v>
      </c>
      <c r="N13" s="8">
        <f>C13*Criteria!$E$2+D13*Criteria!$E$3+E13*Criteria!$E$4+F13*Criteria!$E$5+G13*Criteria!$E$6+H13*Criteria!$E$7+I13*Criteria!$E$8+J13*Criteria!$E$9+K13*Criteria!$E$10</f>
        <v/>
      </c>
      <c r="O13" s="9">
        <f>N13/Criteria!$F$14</f>
        <v/>
      </c>
      <c r="P13" s="8">
        <f>L13+M13</f>
        <v/>
      </c>
      <c r="Q13" s="8">
        <f>RANK(N13,$N$2:$N$57)</f>
        <v/>
      </c>
      <c r="R13" s="6" t="inlineStr"/>
    </row>
    <row r="14">
      <c r="A14" s="6" t="inlineStr">
        <is>
          <t>Idaho</t>
        </is>
      </c>
      <c r="B14" s="6" t="inlineStr">
        <is>
          <t>State</t>
        </is>
      </c>
      <c r="C14" s="7" t="n">
        <v>0</v>
      </c>
      <c r="D14" s="7" t="n">
        <v>0</v>
      </c>
      <c r="E14" s="7" t="n">
        <v>0</v>
      </c>
      <c r="F14" s="7" t="n">
        <v>0</v>
      </c>
      <c r="G14" s="7" t="n">
        <v>0</v>
      </c>
      <c r="H14" s="7" t="n">
        <v>0</v>
      </c>
      <c r="I14" s="7" t="n">
        <v>0</v>
      </c>
      <c r="J14" s="7" t="n">
        <v>1</v>
      </c>
      <c r="K14" s="7" t="n">
        <v>2</v>
      </c>
      <c r="L14" s="7" t="n">
        <v>0</v>
      </c>
      <c r="M14" s="7" t="n">
        <v>0</v>
      </c>
      <c r="N14" s="8">
        <f>C14*Criteria!$E$2+D14*Criteria!$E$3+E14*Criteria!$E$4+F14*Criteria!$E$5+G14*Criteria!$E$6+H14*Criteria!$E$7+I14*Criteria!$E$8+J14*Criteria!$E$9+K14*Criteria!$E$10</f>
        <v/>
      </c>
      <c r="O14" s="9">
        <f>N14/Criteria!$F$14</f>
        <v/>
      </c>
      <c r="P14" s="8">
        <f>L14+M14</f>
        <v/>
      </c>
      <c r="Q14" s="8">
        <f>RANK(N14,$N$2:$N$57)</f>
        <v/>
      </c>
      <c r="R14" s="6" t="inlineStr"/>
    </row>
    <row r="15">
      <c r="A15" s="6" t="inlineStr">
        <is>
          <t>Illinois</t>
        </is>
      </c>
      <c r="B15" s="6" t="inlineStr">
        <is>
          <t>State</t>
        </is>
      </c>
      <c r="C15" s="7" t="n">
        <v>0</v>
      </c>
      <c r="D15" s="7" t="n">
        <v>0</v>
      </c>
      <c r="E15" s="7" t="n">
        <v>0</v>
      </c>
      <c r="F15" s="7" t="n">
        <v>0</v>
      </c>
      <c r="G15" s="7" t="n">
        <v>2</v>
      </c>
      <c r="H15" s="7" t="n">
        <v>0</v>
      </c>
      <c r="I15" s="7" t="n">
        <v>2</v>
      </c>
      <c r="J15" s="7" t="n">
        <v>2</v>
      </c>
      <c r="K15" s="7" t="n">
        <v>2</v>
      </c>
      <c r="L15" s="7" t="n">
        <v>2</v>
      </c>
      <c r="M15" s="7" t="n">
        <v>2</v>
      </c>
      <c r="N15" s="8">
        <f>C15*Criteria!$E$2+D15*Criteria!$E$3+E15*Criteria!$E$4+F15*Criteria!$E$5+G15*Criteria!$E$6+H15*Criteria!$E$7+I15*Criteria!$E$8+J15*Criteria!$E$9+K15*Criteria!$E$10</f>
        <v/>
      </c>
      <c r="O15" s="9">
        <f>N15/Criteria!$F$14</f>
        <v/>
      </c>
      <c r="P15" s="8">
        <f>L15+M15</f>
        <v/>
      </c>
      <c r="Q15" s="8">
        <f>RANK(N15,$N$2:$N$57)</f>
        <v/>
      </c>
      <c r="R15" s="6" t="inlineStr">
        <is>
          <t>No comprehensive law, but BIPA is the strongest biometric law in the US, with a private right to sue and large judgments.</t>
        </is>
      </c>
    </row>
    <row r="16">
      <c r="A16" s="6" t="inlineStr">
        <is>
          <t>Indiana</t>
        </is>
      </c>
      <c r="B16" s="6" t="inlineStr">
        <is>
          <t>State</t>
        </is>
      </c>
      <c r="C16" s="7" t="n">
        <v>3</v>
      </c>
      <c r="D16" s="7" t="n">
        <v>1</v>
      </c>
      <c r="E16" s="7" t="n">
        <v>3</v>
      </c>
      <c r="F16" s="7" t="n">
        <v>1</v>
      </c>
      <c r="G16" s="7" t="n">
        <v>2</v>
      </c>
      <c r="H16" s="7" t="n">
        <v>1</v>
      </c>
      <c r="I16" s="7" t="n">
        <v>0</v>
      </c>
      <c r="J16" s="7" t="n">
        <v>1</v>
      </c>
      <c r="K16" s="7" t="n">
        <v>2</v>
      </c>
      <c r="L16" s="7" t="n">
        <v>0</v>
      </c>
      <c r="M16" s="7" t="n">
        <v>2</v>
      </c>
      <c r="N16" s="8">
        <f>C16*Criteria!$E$2+D16*Criteria!$E$3+E16*Criteria!$E$4+F16*Criteria!$E$5+G16*Criteria!$E$6+H16*Criteria!$E$7+I16*Criteria!$E$8+J16*Criteria!$E$9+K16*Criteria!$E$10</f>
        <v/>
      </c>
      <c r="O16" s="9">
        <f>N16/Criteria!$F$14</f>
        <v/>
      </c>
      <c r="P16" s="8">
        <f>L16+M16</f>
        <v/>
      </c>
      <c r="Q16" s="8">
        <f>RANK(N16,$N$2:$N$57)</f>
        <v/>
      </c>
      <c r="R16" s="6" t="inlineStr"/>
    </row>
    <row r="17">
      <c r="A17" s="6" t="inlineStr">
        <is>
          <t>Iowa</t>
        </is>
      </c>
      <c r="B17" s="6" t="inlineStr">
        <is>
          <t>State</t>
        </is>
      </c>
      <c r="C17" s="7" t="n">
        <v>3</v>
      </c>
      <c r="D17" s="7" t="n">
        <v>0</v>
      </c>
      <c r="E17" s="7" t="n">
        <v>2</v>
      </c>
      <c r="F17" s="7" t="n">
        <v>1</v>
      </c>
      <c r="G17" s="7" t="n">
        <v>1</v>
      </c>
      <c r="H17" s="7" t="n">
        <v>1</v>
      </c>
      <c r="I17" s="7" t="n">
        <v>0</v>
      </c>
      <c r="J17" s="7" t="n">
        <v>1</v>
      </c>
      <c r="K17" s="7" t="n">
        <v>2</v>
      </c>
      <c r="L17" s="7" t="n">
        <v>0</v>
      </c>
      <c r="M17" s="7" t="n">
        <v>1</v>
      </c>
      <c r="N17" s="8">
        <f>C17*Criteria!$E$2+D17*Criteria!$E$3+E17*Criteria!$E$4+F17*Criteria!$E$5+G17*Criteria!$E$6+H17*Criteria!$E$7+I17*Criteria!$E$8+J17*Criteria!$E$9+K17*Criteria!$E$10</f>
        <v/>
      </c>
      <c r="O17" s="9">
        <f>N17/Criteria!$F$14</f>
        <v/>
      </c>
      <c r="P17" s="8">
        <f>L17+M17</f>
        <v/>
      </c>
      <c r="Q17" s="8">
        <f>RANK(N17,$N$2:$N$57)</f>
        <v/>
      </c>
      <c r="R17" s="6" t="inlineStr">
        <is>
          <t>No right to correct data; weaker collection and sensitive-data rules.</t>
        </is>
      </c>
    </row>
    <row r="18">
      <c r="A18" s="6" t="inlineStr">
        <is>
          <t>Kansas</t>
        </is>
      </c>
      <c r="B18" s="6" t="inlineStr">
        <is>
          <t>State</t>
        </is>
      </c>
      <c r="C18" s="7" t="n">
        <v>0</v>
      </c>
      <c r="D18" s="7" t="n">
        <v>0</v>
      </c>
      <c r="E18" s="7" t="n">
        <v>0</v>
      </c>
      <c r="F18" s="7" t="n">
        <v>0</v>
      </c>
      <c r="G18" s="7" t="n">
        <v>0</v>
      </c>
      <c r="H18" s="7" t="n">
        <v>0</v>
      </c>
      <c r="I18" s="7" t="n">
        <v>0</v>
      </c>
      <c r="J18" s="7" t="n">
        <v>1</v>
      </c>
      <c r="K18" s="7" t="n">
        <v>2</v>
      </c>
      <c r="L18" s="7" t="n">
        <v>0</v>
      </c>
      <c r="M18" s="7" t="n">
        <v>0</v>
      </c>
      <c r="N18" s="8">
        <f>C18*Criteria!$E$2+D18*Criteria!$E$3+E18*Criteria!$E$4+F18*Criteria!$E$5+G18*Criteria!$E$6+H18*Criteria!$E$7+I18*Criteria!$E$8+J18*Criteria!$E$9+K18*Criteria!$E$10</f>
        <v/>
      </c>
      <c r="O18" s="9">
        <f>N18/Criteria!$F$14</f>
        <v/>
      </c>
      <c r="P18" s="8">
        <f>L18+M18</f>
        <v/>
      </c>
      <c r="Q18" s="8">
        <f>RANK(N18,$N$2:$N$57)</f>
        <v/>
      </c>
      <c r="R18" s="6" t="inlineStr"/>
    </row>
    <row r="19">
      <c r="A19" s="6" t="inlineStr">
        <is>
          <t>Kentucky</t>
        </is>
      </c>
      <c r="B19" s="6" t="inlineStr">
        <is>
          <t>State</t>
        </is>
      </c>
      <c r="C19" s="7" t="n">
        <v>3</v>
      </c>
      <c r="D19" s="7" t="n">
        <v>1</v>
      </c>
      <c r="E19" s="7" t="n">
        <v>3</v>
      </c>
      <c r="F19" s="7" t="n">
        <v>1</v>
      </c>
      <c r="G19" s="7" t="n">
        <v>2</v>
      </c>
      <c r="H19" s="7" t="n">
        <v>1</v>
      </c>
      <c r="I19" s="7" t="n">
        <v>0</v>
      </c>
      <c r="J19" s="7" t="n">
        <v>1</v>
      </c>
      <c r="K19" s="7" t="n">
        <v>2</v>
      </c>
      <c r="L19" s="7" t="n">
        <v>0</v>
      </c>
      <c r="M19" s="7" t="n">
        <v>0</v>
      </c>
      <c r="N19" s="8">
        <f>C19*Criteria!$E$2+D19*Criteria!$E$3+E19*Criteria!$E$4+F19*Criteria!$E$5+G19*Criteria!$E$6+H19*Criteria!$E$7+I19*Criteria!$E$8+J19*Criteria!$E$9+K19*Criteria!$E$10</f>
        <v/>
      </c>
      <c r="O19" s="9">
        <f>N19/Criteria!$F$14</f>
        <v/>
      </c>
      <c r="P19" s="8">
        <f>L19+M19</f>
        <v/>
      </c>
      <c r="Q19" s="8">
        <f>RANK(N19,$N$2:$N$57)</f>
        <v/>
      </c>
      <c r="R19" s="6" t="inlineStr"/>
    </row>
    <row r="20">
      <c r="A20" s="6" t="inlineStr">
        <is>
          <t>Louisiana</t>
        </is>
      </c>
      <c r="B20" s="6" t="inlineStr">
        <is>
          <t>State</t>
        </is>
      </c>
      <c r="C20" s="7" t="n">
        <v>1</v>
      </c>
      <c r="D20" s="7" t="n">
        <v>0</v>
      </c>
      <c r="E20" s="7" t="n">
        <v>0</v>
      </c>
      <c r="F20" s="7" t="n">
        <v>0</v>
      </c>
      <c r="G20" s="7" t="n">
        <v>0</v>
      </c>
      <c r="H20" s="7" t="n">
        <v>0</v>
      </c>
      <c r="I20" s="7" t="n">
        <v>0</v>
      </c>
      <c r="J20" s="7" t="n">
        <v>1</v>
      </c>
      <c r="K20" s="7" t="n">
        <v>2</v>
      </c>
      <c r="L20" s="7" t="n">
        <v>2</v>
      </c>
      <c r="M20" s="7" t="n">
        <v>0</v>
      </c>
      <c r="N20" s="8">
        <f>C20*Criteria!$E$2+D20*Criteria!$E$3+E20*Criteria!$E$4+F20*Criteria!$E$5+G20*Criteria!$E$6+H20*Criteria!$E$7+I20*Criteria!$E$8+J20*Criteria!$E$9+K20*Criteria!$E$10</f>
        <v/>
      </c>
      <c r="O20" s="9">
        <f>N20/Criteria!$F$14</f>
        <v/>
      </c>
      <c r="P20" s="8">
        <f>L20+M20</f>
        <v/>
      </c>
      <c r="Q20" s="8">
        <f>RANK(N20,$N$2:$N$57)</f>
        <v/>
      </c>
      <c r="R20" s="6" t="inlineStr">
        <is>
          <t>Law signed in 2026, takes effect January 1, 2027; other scores rise then.</t>
        </is>
      </c>
    </row>
    <row r="21">
      <c r="A21" s="6" t="inlineStr">
        <is>
          <t>Maine</t>
        </is>
      </c>
      <c r="B21" s="6" t="inlineStr">
        <is>
          <t>State</t>
        </is>
      </c>
      <c r="C21" s="7" t="n">
        <v>0</v>
      </c>
      <c r="D21" s="7" t="n">
        <v>0</v>
      </c>
      <c r="E21" s="7" t="n">
        <v>0</v>
      </c>
      <c r="F21" s="7" t="n">
        <v>0</v>
      </c>
      <c r="G21" s="7" t="n">
        <v>0</v>
      </c>
      <c r="H21" s="7" t="n">
        <v>0</v>
      </c>
      <c r="I21" s="7" t="n">
        <v>0</v>
      </c>
      <c r="J21" s="7" t="n">
        <v>1</v>
      </c>
      <c r="K21" s="7" t="n">
        <v>3</v>
      </c>
      <c r="L21" s="7" t="n">
        <v>0</v>
      </c>
      <c r="M21" s="7" t="n">
        <v>3</v>
      </c>
      <c r="N21" s="8">
        <f>C21*Criteria!$E$2+D21*Criteria!$E$3+E21*Criteria!$E$4+F21*Criteria!$E$5+G21*Criteria!$E$6+H21*Criteria!$E$7+I21*Criteria!$E$8+J21*Criteria!$E$9+K21*Criteria!$E$10</f>
        <v/>
      </c>
      <c r="O21" s="9">
        <f>N21/Criteria!$F$14</f>
        <v/>
      </c>
      <c r="P21" s="8">
        <f>L21+M21</f>
        <v/>
      </c>
      <c r="Q21" s="8">
        <f>RANK(N21,$N$2:$N$57)</f>
        <v/>
      </c>
      <c r="R21" s="6" t="inlineStr"/>
    </row>
    <row r="22">
      <c r="A22" s="6" t="inlineStr">
        <is>
          <t>Maryland</t>
        </is>
      </c>
      <c r="B22" s="6" t="inlineStr">
        <is>
          <t>State</t>
        </is>
      </c>
      <c r="C22" s="7" t="n">
        <v>3</v>
      </c>
      <c r="D22" s="7" t="n">
        <v>3</v>
      </c>
      <c r="E22" s="7" t="n">
        <v>3</v>
      </c>
      <c r="F22" s="7" t="n">
        <v>1</v>
      </c>
      <c r="G22" s="7" t="n">
        <v>3</v>
      </c>
      <c r="H22" s="7" t="n">
        <v>1</v>
      </c>
      <c r="I22" s="7" t="n">
        <v>0</v>
      </c>
      <c r="J22" s="7" t="n">
        <v>1</v>
      </c>
      <c r="K22" s="7" t="n">
        <v>2</v>
      </c>
      <c r="L22" s="7" t="n">
        <v>0</v>
      </c>
      <c r="M22" s="7" t="n">
        <v>2</v>
      </c>
      <c r="N22" s="8">
        <f>C22*Criteria!$E$2+D22*Criteria!$E$3+E22*Criteria!$E$4+F22*Criteria!$E$5+G22*Criteria!$E$6+H22*Criteria!$E$7+I22*Criteria!$E$8+J22*Criteria!$E$9+K22*Criteria!$E$10</f>
        <v/>
      </c>
      <c r="O22" s="9">
        <f>N22/Criteria!$F$14</f>
        <v/>
      </c>
      <c r="P22" s="8">
        <f>L22+M22</f>
        <v/>
      </c>
      <c r="Q22" s="8">
        <f>RANK(N22,$N$2:$N$57)</f>
        <v/>
      </c>
      <c r="R22" s="6" t="inlineStr">
        <is>
          <t>Strictest collection standard in the US; bans sale of sensitive data.</t>
        </is>
      </c>
    </row>
    <row r="23">
      <c r="A23" s="6" t="inlineStr">
        <is>
          <t>Massachusetts</t>
        </is>
      </c>
      <c r="B23" s="6" t="inlineStr">
        <is>
          <t>State</t>
        </is>
      </c>
      <c r="C23" s="7" t="n">
        <v>0</v>
      </c>
      <c r="D23" s="7" t="n">
        <v>0</v>
      </c>
      <c r="E23" s="7" t="n">
        <v>0</v>
      </c>
      <c r="F23" s="7" t="n">
        <v>0</v>
      </c>
      <c r="G23" s="7" t="n">
        <v>0</v>
      </c>
      <c r="H23" s="7" t="n">
        <v>0</v>
      </c>
      <c r="I23" s="7" t="n">
        <v>0</v>
      </c>
      <c r="J23" s="7" t="n">
        <v>1</v>
      </c>
      <c r="K23" s="7" t="n">
        <v>2</v>
      </c>
      <c r="L23" s="7" t="n">
        <v>0</v>
      </c>
      <c r="M23" s="7" t="n">
        <v>2</v>
      </c>
      <c r="N23" s="8">
        <f>C23*Criteria!$E$2+D23*Criteria!$E$3+E23*Criteria!$E$4+F23*Criteria!$E$5+G23*Criteria!$E$6+H23*Criteria!$E$7+I23*Criteria!$E$8+J23*Criteria!$E$9+K23*Criteria!$E$10</f>
        <v/>
      </c>
      <c r="O23" s="9">
        <f>N23/Criteria!$F$14</f>
        <v/>
      </c>
      <c r="P23" s="8">
        <f>L23+M23</f>
        <v/>
      </c>
      <c r="Q23" s="8">
        <f>RANK(N23,$N$2:$N$57)</f>
        <v/>
      </c>
      <c r="R23" s="6" t="inlineStr"/>
    </row>
    <row r="24">
      <c r="A24" s="6" t="inlineStr">
        <is>
          <t>Michigan</t>
        </is>
      </c>
      <c r="B24" s="6" t="inlineStr">
        <is>
          <t>State</t>
        </is>
      </c>
      <c r="C24" s="7" t="n">
        <v>0</v>
      </c>
      <c r="D24" s="7" t="n">
        <v>0</v>
      </c>
      <c r="E24" s="7" t="n">
        <v>0</v>
      </c>
      <c r="F24" s="7" t="n">
        <v>0</v>
      </c>
      <c r="G24" s="7" t="n">
        <v>0</v>
      </c>
      <c r="H24" s="7" t="n">
        <v>0</v>
      </c>
      <c r="I24" s="7" t="n">
        <v>0</v>
      </c>
      <c r="J24" s="7" t="n">
        <v>1</v>
      </c>
      <c r="K24" s="7" t="n">
        <v>2</v>
      </c>
      <c r="L24" s="7" t="n">
        <v>0</v>
      </c>
      <c r="M24" s="7" t="n">
        <v>3</v>
      </c>
      <c r="N24" s="8">
        <f>C24*Criteria!$E$2+D24*Criteria!$E$3+E24*Criteria!$E$4+F24*Criteria!$E$5+G24*Criteria!$E$6+H24*Criteria!$E$7+I24*Criteria!$E$8+J24*Criteria!$E$9+K24*Criteria!$E$10</f>
        <v/>
      </c>
      <c r="O24" s="9">
        <f>N24/Criteria!$F$14</f>
        <v/>
      </c>
      <c r="P24" s="8">
        <f>L24+M24</f>
        <v/>
      </c>
      <c r="Q24" s="8">
        <f>RANK(N24,$N$2:$N$57)</f>
        <v/>
      </c>
      <c r="R24" s="6" t="inlineStr">
        <is>
          <t>State constitution protects electronic data from warrantless searches.</t>
        </is>
      </c>
    </row>
    <row r="25">
      <c r="A25" s="6" t="inlineStr">
        <is>
          <t>Minnesota</t>
        </is>
      </c>
      <c r="B25" s="6" t="inlineStr">
        <is>
          <t>State</t>
        </is>
      </c>
      <c r="C25" s="7" t="n">
        <v>3</v>
      </c>
      <c r="D25" s="7" t="n">
        <v>1</v>
      </c>
      <c r="E25" s="7" t="n">
        <v>3</v>
      </c>
      <c r="F25" s="7" t="n">
        <v>1</v>
      </c>
      <c r="G25" s="7" t="n">
        <v>2</v>
      </c>
      <c r="H25" s="7" t="n">
        <v>1</v>
      </c>
      <c r="I25" s="7" t="n">
        <v>0</v>
      </c>
      <c r="J25" s="7" t="n">
        <v>1</v>
      </c>
      <c r="K25" s="7" t="n">
        <v>2</v>
      </c>
      <c r="L25" s="7" t="n">
        <v>0</v>
      </c>
      <c r="M25" s="7" t="n">
        <v>3</v>
      </c>
      <c r="N25" s="8">
        <f>C25*Criteria!$E$2+D25*Criteria!$E$3+E25*Criteria!$E$4+F25*Criteria!$E$5+G25*Criteria!$E$6+H25*Criteria!$E$7+I25*Criteria!$E$8+J25*Criteria!$E$9+K25*Criteria!$E$10</f>
        <v/>
      </c>
      <c r="O25" s="9">
        <f>N25/Criteria!$F$14</f>
        <v/>
      </c>
      <c r="P25" s="8">
        <f>L25+M25</f>
        <v/>
      </c>
      <c r="Q25" s="8">
        <f>RANK(N25,$N$2:$N$57)</f>
        <v/>
      </c>
      <c r="R25" s="6" t="inlineStr"/>
    </row>
    <row r="26">
      <c r="A26" s="6" t="inlineStr">
        <is>
          <t>Mississippi</t>
        </is>
      </c>
      <c r="B26" s="6" t="inlineStr">
        <is>
          <t>State</t>
        </is>
      </c>
      <c r="C26" s="7" t="n">
        <v>0</v>
      </c>
      <c r="D26" s="7" t="n">
        <v>0</v>
      </c>
      <c r="E26" s="7" t="n">
        <v>0</v>
      </c>
      <c r="F26" s="7" t="n">
        <v>0</v>
      </c>
      <c r="G26" s="7" t="n">
        <v>0</v>
      </c>
      <c r="H26" s="7" t="n">
        <v>0</v>
      </c>
      <c r="I26" s="7" t="n">
        <v>0</v>
      </c>
      <c r="J26" s="7" t="n">
        <v>1</v>
      </c>
      <c r="K26" s="7" t="n">
        <v>2</v>
      </c>
      <c r="L26" s="7" t="n">
        <v>0</v>
      </c>
      <c r="M26" s="7" t="n">
        <v>0</v>
      </c>
      <c r="N26" s="8">
        <f>C26*Criteria!$E$2+D26*Criteria!$E$3+E26*Criteria!$E$4+F26*Criteria!$E$5+G26*Criteria!$E$6+H26*Criteria!$E$7+I26*Criteria!$E$8+J26*Criteria!$E$9+K26*Criteria!$E$10</f>
        <v/>
      </c>
      <c r="O26" s="9">
        <f>N26/Criteria!$F$14</f>
        <v/>
      </c>
      <c r="P26" s="8">
        <f>L26+M26</f>
        <v/>
      </c>
      <c r="Q26" s="8">
        <f>RANK(N26,$N$2:$N$57)</f>
        <v/>
      </c>
      <c r="R26" s="6" t="inlineStr"/>
    </row>
    <row r="27">
      <c r="A27" s="6" t="inlineStr">
        <is>
          <t>Missouri</t>
        </is>
      </c>
      <c r="B27" s="6" t="inlineStr">
        <is>
          <t>State</t>
        </is>
      </c>
      <c r="C27" s="7" t="n">
        <v>0</v>
      </c>
      <c r="D27" s="7" t="n">
        <v>0</v>
      </c>
      <c r="E27" s="7" t="n">
        <v>0</v>
      </c>
      <c r="F27" s="7" t="n">
        <v>0</v>
      </c>
      <c r="G27" s="7" t="n">
        <v>0</v>
      </c>
      <c r="H27" s="7" t="n">
        <v>0</v>
      </c>
      <c r="I27" s="7" t="n">
        <v>0</v>
      </c>
      <c r="J27" s="7" t="n">
        <v>1</v>
      </c>
      <c r="K27" s="7" t="n">
        <v>2</v>
      </c>
      <c r="L27" s="7" t="n">
        <v>0</v>
      </c>
      <c r="M27" s="7" t="n">
        <v>3</v>
      </c>
      <c r="N27" s="8">
        <f>C27*Criteria!$E$2+D27*Criteria!$E$3+E27*Criteria!$E$4+F27*Criteria!$E$5+G27*Criteria!$E$6+H27*Criteria!$E$7+I27*Criteria!$E$8+J27*Criteria!$E$9+K27*Criteria!$E$10</f>
        <v/>
      </c>
      <c r="O27" s="9">
        <f>N27/Criteria!$F$14</f>
        <v/>
      </c>
      <c r="P27" s="8">
        <f>L27+M27</f>
        <v/>
      </c>
      <c r="Q27" s="8">
        <f>RANK(N27,$N$2:$N$57)</f>
        <v/>
      </c>
      <c r="R27" s="6" t="inlineStr">
        <is>
          <t>State constitution protects electronic data from warrantless searches.</t>
        </is>
      </c>
    </row>
    <row r="28">
      <c r="A28" s="6" t="inlineStr">
        <is>
          <t>Montana</t>
        </is>
      </c>
      <c r="B28" s="6" t="inlineStr">
        <is>
          <t>State</t>
        </is>
      </c>
      <c r="C28" s="7" t="n">
        <v>3</v>
      </c>
      <c r="D28" s="7" t="n">
        <v>1</v>
      </c>
      <c r="E28" s="7" t="n">
        <v>3</v>
      </c>
      <c r="F28" s="7" t="n">
        <v>1</v>
      </c>
      <c r="G28" s="7" t="n">
        <v>2</v>
      </c>
      <c r="H28" s="7" t="n">
        <v>1</v>
      </c>
      <c r="I28" s="7" t="n">
        <v>0</v>
      </c>
      <c r="J28" s="7" t="n">
        <v>1</v>
      </c>
      <c r="K28" s="7" t="n">
        <v>2</v>
      </c>
      <c r="L28" s="7" t="n">
        <v>2</v>
      </c>
      <c r="M28" s="7" t="n">
        <v>3</v>
      </c>
      <c r="N28" s="8">
        <f>C28*Criteria!$E$2+D28*Criteria!$E$3+E28*Criteria!$E$4+F28*Criteria!$E$5+G28*Criteria!$E$6+H28*Criteria!$E$7+I28*Criteria!$E$8+J28*Criteria!$E$9+K28*Criteria!$E$10</f>
        <v/>
      </c>
      <c r="O28" s="9">
        <f>N28/Criteria!$F$14</f>
        <v/>
      </c>
      <c r="P28" s="8">
        <f>L28+M28</f>
        <v/>
      </c>
      <c r="Q28" s="8">
        <f>RANK(N28,$N$2:$N$57)</f>
        <v/>
      </c>
      <c r="R28" s="6" t="inlineStr"/>
    </row>
    <row r="29">
      <c r="A29" s="6" t="inlineStr">
        <is>
          <t>Nebraska</t>
        </is>
      </c>
      <c r="B29" s="6" t="inlineStr">
        <is>
          <t>State</t>
        </is>
      </c>
      <c r="C29" s="7" t="n">
        <v>3</v>
      </c>
      <c r="D29" s="7" t="n">
        <v>1</v>
      </c>
      <c r="E29" s="7" t="n">
        <v>3</v>
      </c>
      <c r="F29" s="7" t="n">
        <v>1</v>
      </c>
      <c r="G29" s="7" t="n">
        <v>2</v>
      </c>
      <c r="H29" s="7" t="n">
        <v>1</v>
      </c>
      <c r="I29" s="7" t="n">
        <v>0</v>
      </c>
      <c r="J29" s="7" t="n">
        <v>1</v>
      </c>
      <c r="K29" s="7" t="n">
        <v>2</v>
      </c>
      <c r="L29" s="7" t="n">
        <v>0</v>
      </c>
      <c r="M29" s="7" t="n">
        <v>0</v>
      </c>
      <c r="N29" s="8">
        <f>C29*Criteria!$E$2+D29*Criteria!$E$3+E29*Criteria!$E$4+F29*Criteria!$E$5+G29*Criteria!$E$6+H29*Criteria!$E$7+I29*Criteria!$E$8+J29*Criteria!$E$9+K29*Criteria!$E$10</f>
        <v/>
      </c>
      <c r="O29" s="9">
        <f>N29/Criteria!$F$14</f>
        <v/>
      </c>
      <c r="P29" s="8">
        <f>L29+M29</f>
        <v/>
      </c>
      <c r="Q29" s="8">
        <f>RANK(N29,$N$2:$N$57)</f>
        <v/>
      </c>
      <c r="R29" s="6" t="inlineStr"/>
    </row>
    <row r="30">
      <c r="A30" s="6" t="inlineStr">
        <is>
          <t>Nevada</t>
        </is>
      </c>
      <c r="B30" s="6" t="inlineStr">
        <is>
          <t>State</t>
        </is>
      </c>
      <c r="C30" s="7" t="n">
        <v>0</v>
      </c>
      <c r="D30" s="7" t="n">
        <v>0</v>
      </c>
      <c r="E30" s="7" t="n">
        <v>0</v>
      </c>
      <c r="F30" s="7" t="n">
        <v>0</v>
      </c>
      <c r="G30" s="7" t="n">
        <v>1</v>
      </c>
      <c r="H30" s="7" t="n">
        <v>0</v>
      </c>
      <c r="I30" s="7" t="n">
        <v>0</v>
      </c>
      <c r="J30" s="7" t="n">
        <v>1</v>
      </c>
      <c r="K30" s="7" t="n">
        <v>2</v>
      </c>
      <c r="L30" s="7" t="n">
        <v>0</v>
      </c>
      <c r="M30" s="7" t="n">
        <v>0</v>
      </c>
      <c r="N30" s="8">
        <f>C30*Criteria!$E$2+D30*Criteria!$E$3+E30*Criteria!$E$4+F30*Criteria!$E$5+G30*Criteria!$E$6+H30*Criteria!$E$7+I30*Criteria!$E$8+J30*Criteria!$E$9+K30*Criteria!$E$10</f>
        <v/>
      </c>
      <c r="O30" s="9">
        <f>N30/Criteria!$F$14</f>
        <v/>
      </c>
      <c r="P30" s="8">
        <f>L30+M30</f>
        <v/>
      </c>
      <c r="Q30" s="8">
        <f>RANK(N30,$N$2:$N$57)</f>
        <v/>
      </c>
      <c r="R30" s="6" t="inlineStr">
        <is>
          <t>No comprehensive law; has a consumer health data law.</t>
        </is>
      </c>
    </row>
    <row r="31">
      <c r="A31" s="6" t="inlineStr">
        <is>
          <t>New Hampshire</t>
        </is>
      </c>
      <c r="B31" s="6" t="inlineStr">
        <is>
          <t>State</t>
        </is>
      </c>
      <c r="C31" s="7" t="n">
        <v>3</v>
      </c>
      <c r="D31" s="7" t="n">
        <v>1</v>
      </c>
      <c r="E31" s="7" t="n">
        <v>3</v>
      </c>
      <c r="F31" s="7" t="n">
        <v>1</v>
      </c>
      <c r="G31" s="7" t="n">
        <v>2</v>
      </c>
      <c r="H31" s="7" t="n">
        <v>1</v>
      </c>
      <c r="I31" s="7" t="n">
        <v>0</v>
      </c>
      <c r="J31" s="7" t="n">
        <v>1</v>
      </c>
      <c r="K31" s="7" t="n">
        <v>2</v>
      </c>
      <c r="L31" s="7" t="n">
        <v>2</v>
      </c>
      <c r="M31" s="7" t="n">
        <v>3</v>
      </c>
      <c r="N31" s="8">
        <f>C31*Criteria!$E$2+D31*Criteria!$E$3+E31*Criteria!$E$4+F31*Criteria!$E$5+G31*Criteria!$E$6+H31*Criteria!$E$7+I31*Criteria!$E$8+J31*Criteria!$E$9+K31*Criteria!$E$10</f>
        <v/>
      </c>
      <c r="O31" s="9">
        <f>N31/Criteria!$F$14</f>
        <v/>
      </c>
      <c r="P31" s="8">
        <f>L31+M31</f>
        <v/>
      </c>
      <c r="Q31" s="8">
        <f>RANK(N31,$N$2:$N$57)</f>
        <v/>
      </c>
      <c r="R31" s="6" t="inlineStr"/>
    </row>
    <row r="32">
      <c r="A32" s="6" t="inlineStr">
        <is>
          <t>New Jersey</t>
        </is>
      </c>
      <c r="B32" s="6" t="inlineStr">
        <is>
          <t>State</t>
        </is>
      </c>
      <c r="C32" s="7" t="n">
        <v>3</v>
      </c>
      <c r="D32" s="7" t="n">
        <v>1</v>
      </c>
      <c r="E32" s="7" t="n">
        <v>3</v>
      </c>
      <c r="F32" s="7" t="n">
        <v>1</v>
      </c>
      <c r="G32" s="7" t="n">
        <v>2</v>
      </c>
      <c r="H32" s="7" t="n">
        <v>1</v>
      </c>
      <c r="I32" s="7" t="n">
        <v>0</v>
      </c>
      <c r="J32" s="7" t="n">
        <v>1</v>
      </c>
      <c r="K32" s="7" t="n">
        <v>2</v>
      </c>
      <c r="L32" s="7" t="n">
        <v>0</v>
      </c>
      <c r="M32" s="7" t="n">
        <v>2</v>
      </c>
      <c r="N32" s="8">
        <f>C32*Criteria!$E$2+D32*Criteria!$E$3+E32*Criteria!$E$4+F32*Criteria!$E$5+G32*Criteria!$E$6+H32*Criteria!$E$7+I32*Criteria!$E$8+J32*Criteria!$E$9+K32*Criteria!$E$10</f>
        <v/>
      </c>
      <c r="O32" s="9">
        <f>N32/Criteria!$F$14</f>
        <v/>
      </c>
      <c r="P32" s="8">
        <f>L32+M32</f>
        <v/>
      </c>
      <c r="Q32" s="8">
        <f>RANK(N32,$N$2:$N$57)</f>
        <v/>
      </c>
      <c r="R32" s="6" t="inlineStr"/>
    </row>
    <row r="33">
      <c r="A33" s="6" t="inlineStr">
        <is>
          <t>New Mexico</t>
        </is>
      </c>
      <c r="B33" s="6" t="inlineStr">
        <is>
          <t>State</t>
        </is>
      </c>
      <c r="C33" s="7" t="n">
        <v>0</v>
      </c>
      <c r="D33" s="7" t="n">
        <v>0</v>
      </c>
      <c r="E33" s="7" t="n">
        <v>0</v>
      </c>
      <c r="F33" s="7" t="n">
        <v>0</v>
      </c>
      <c r="G33" s="7" t="n">
        <v>0</v>
      </c>
      <c r="H33" s="7" t="n">
        <v>0</v>
      </c>
      <c r="I33" s="7" t="n">
        <v>0</v>
      </c>
      <c r="J33" s="7" t="n">
        <v>1</v>
      </c>
      <c r="K33" s="7" t="n">
        <v>2</v>
      </c>
      <c r="L33" s="7" t="n">
        <v>0</v>
      </c>
      <c r="M33" s="7" t="n">
        <v>0</v>
      </c>
      <c r="N33" s="8">
        <f>C33*Criteria!$E$2+D33*Criteria!$E$3+E33*Criteria!$E$4+F33*Criteria!$E$5+G33*Criteria!$E$6+H33*Criteria!$E$7+I33*Criteria!$E$8+J33*Criteria!$E$9+K33*Criteria!$E$10</f>
        <v/>
      </c>
      <c r="O33" s="9">
        <f>N33/Criteria!$F$14</f>
        <v/>
      </c>
      <c r="P33" s="8">
        <f>L33+M33</f>
        <v/>
      </c>
      <c r="Q33" s="8">
        <f>RANK(N33,$N$2:$N$57)</f>
        <v/>
      </c>
      <c r="R33" s="6" t="inlineStr"/>
    </row>
    <row r="34">
      <c r="A34" s="6" t="inlineStr">
        <is>
          <t>New York</t>
        </is>
      </c>
      <c r="B34" s="6" t="inlineStr">
        <is>
          <t>State</t>
        </is>
      </c>
      <c r="C34" s="7" t="n">
        <v>0</v>
      </c>
      <c r="D34" s="7" t="n">
        <v>0</v>
      </c>
      <c r="E34" s="7" t="n">
        <v>0</v>
      </c>
      <c r="F34" s="7" t="n">
        <v>0</v>
      </c>
      <c r="G34" s="7" t="n">
        <v>0</v>
      </c>
      <c r="H34" s="7" t="n">
        <v>0</v>
      </c>
      <c r="I34" s="7" t="n">
        <v>0</v>
      </c>
      <c r="J34" s="7" t="n">
        <v>1</v>
      </c>
      <c r="K34" s="7" t="n">
        <v>3</v>
      </c>
      <c r="L34" s="7" t="n">
        <v>0</v>
      </c>
      <c r="M34" s="7" t="n">
        <v>0</v>
      </c>
      <c r="N34" s="8">
        <f>C34*Criteria!$E$2+D34*Criteria!$E$3+E34*Criteria!$E$4+F34*Criteria!$E$5+G34*Criteria!$E$6+H34*Criteria!$E$7+I34*Criteria!$E$8+J34*Criteria!$E$9+K34*Criteria!$E$10</f>
        <v/>
      </c>
      <c r="O34" s="9">
        <f>N34/Criteria!$F$14</f>
        <v/>
      </c>
      <c r="P34" s="8">
        <f>L34+M34</f>
        <v/>
      </c>
      <c r="Q34" s="8">
        <f>RANK(N34,$N$2:$N$57)</f>
        <v/>
      </c>
      <c r="R34" s="6" t="inlineStr"/>
    </row>
    <row r="35">
      <c r="A35" s="6" t="inlineStr">
        <is>
          <t>North Carolina</t>
        </is>
      </c>
      <c r="B35" s="6" t="inlineStr">
        <is>
          <t>State</t>
        </is>
      </c>
      <c r="C35" s="7" t="n">
        <v>0</v>
      </c>
      <c r="D35" s="7" t="n">
        <v>0</v>
      </c>
      <c r="E35" s="7" t="n">
        <v>0</v>
      </c>
      <c r="F35" s="7" t="n">
        <v>0</v>
      </c>
      <c r="G35" s="7" t="n">
        <v>0</v>
      </c>
      <c r="H35" s="7" t="n">
        <v>0</v>
      </c>
      <c r="I35" s="7" t="n">
        <v>0</v>
      </c>
      <c r="J35" s="7" t="n">
        <v>1</v>
      </c>
      <c r="K35" s="7" t="n">
        <v>2</v>
      </c>
      <c r="L35" s="7" t="n">
        <v>0</v>
      </c>
      <c r="M35" s="7" t="n">
        <v>0</v>
      </c>
      <c r="N35" s="8">
        <f>C35*Criteria!$E$2+D35*Criteria!$E$3+E35*Criteria!$E$4+F35*Criteria!$E$5+G35*Criteria!$E$6+H35*Criteria!$E$7+I35*Criteria!$E$8+J35*Criteria!$E$9+K35*Criteria!$E$10</f>
        <v/>
      </c>
      <c r="O35" s="9">
        <f>N35/Criteria!$F$14</f>
        <v/>
      </c>
      <c r="P35" s="8">
        <f>L35+M35</f>
        <v/>
      </c>
      <c r="Q35" s="8">
        <f>RANK(N35,$N$2:$N$57)</f>
        <v/>
      </c>
      <c r="R35" s="6" t="inlineStr"/>
    </row>
    <row r="36">
      <c r="A36" s="6" t="inlineStr">
        <is>
          <t>North Dakota</t>
        </is>
      </c>
      <c r="B36" s="6" t="inlineStr">
        <is>
          <t>State</t>
        </is>
      </c>
      <c r="C36" s="7" t="n">
        <v>0</v>
      </c>
      <c r="D36" s="7" t="n">
        <v>0</v>
      </c>
      <c r="E36" s="7" t="n">
        <v>0</v>
      </c>
      <c r="F36" s="7" t="n">
        <v>0</v>
      </c>
      <c r="G36" s="7" t="n">
        <v>0</v>
      </c>
      <c r="H36" s="7" t="n">
        <v>0</v>
      </c>
      <c r="I36" s="7" t="n">
        <v>0</v>
      </c>
      <c r="J36" s="7" t="n">
        <v>1</v>
      </c>
      <c r="K36" s="7" t="n">
        <v>2</v>
      </c>
      <c r="L36" s="7" t="n">
        <v>0</v>
      </c>
      <c r="M36" s="7" t="n">
        <v>0</v>
      </c>
      <c r="N36" s="8">
        <f>C36*Criteria!$E$2+D36*Criteria!$E$3+E36*Criteria!$E$4+F36*Criteria!$E$5+G36*Criteria!$E$6+H36*Criteria!$E$7+I36*Criteria!$E$8+J36*Criteria!$E$9+K36*Criteria!$E$10</f>
        <v/>
      </c>
      <c r="O36" s="9">
        <f>N36/Criteria!$F$14</f>
        <v/>
      </c>
      <c r="P36" s="8">
        <f>L36+M36</f>
        <v/>
      </c>
      <c r="Q36" s="8">
        <f>RANK(N36,$N$2:$N$57)</f>
        <v/>
      </c>
      <c r="R36" s="6" t="inlineStr"/>
    </row>
    <row r="37">
      <c r="A37" s="6" t="inlineStr">
        <is>
          <t>Ohio</t>
        </is>
      </c>
      <c r="B37" s="6" t="inlineStr">
        <is>
          <t>State</t>
        </is>
      </c>
      <c r="C37" s="7" t="n">
        <v>0</v>
      </c>
      <c r="D37" s="7" t="n">
        <v>0</v>
      </c>
      <c r="E37" s="7" t="n">
        <v>0</v>
      </c>
      <c r="F37" s="7" t="n">
        <v>0</v>
      </c>
      <c r="G37" s="7" t="n">
        <v>0</v>
      </c>
      <c r="H37" s="7" t="n">
        <v>0</v>
      </c>
      <c r="I37" s="7" t="n">
        <v>0</v>
      </c>
      <c r="J37" s="7" t="n">
        <v>1</v>
      </c>
      <c r="K37" s="7" t="n">
        <v>2</v>
      </c>
      <c r="L37" s="7" t="n">
        <v>0</v>
      </c>
      <c r="M37" s="7" t="n">
        <v>0</v>
      </c>
      <c r="N37" s="8">
        <f>C37*Criteria!$E$2+D37*Criteria!$E$3+E37*Criteria!$E$4+F37*Criteria!$E$5+G37*Criteria!$E$6+H37*Criteria!$E$7+I37*Criteria!$E$8+J37*Criteria!$E$9+K37*Criteria!$E$10</f>
        <v/>
      </c>
      <c r="O37" s="9">
        <f>N37/Criteria!$F$14</f>
        <v/>
      </c>
      <c r="P37" s="8">
        <f>L37+M37</f>
        <v/>
      </c>
      <c r="Q37" s="8">
        <f>RANK(N37,$N$2:$N$57)</f>
        <v/>
      </c>
      <c r="R37" s="6" t="inlineStr"/>
    </row>
    <row r="38">
      <c r="A38" s="6" t="inlineStr">
        <is>
          <t>Oklahoma</t>
        </is>
      </c>
      <c r="B38" s="6" t="inlineStr">
        <is>
          <t>State</t>
        </is>
      </c>
      <c r="C38" s="7" t="n">
        <v>1</v>
      </c>
      <c r="D38" s="7" t="n">
        <v>0</v>
      </c>
      <c r="E38" s="7" t="n">
        <v>0</v>
      </c>
      <c r="F38" s="7" t="n">
        <v>0</v>
      </c>
      <c r="G38" s="7" t="n">
        <v>0</v>
      </c>
      <c r="H38" s="7" t="n">
        <v>0</v>
      </c>
      <c r="I38" s="7" t="n">
        <v>0</v>
      </c>
      <c r="J38" s="7" t="n">
        <v>1</v>
      </c>
      <c r="K38" s="7" t="n">
        <v>2</v>
      </c>
      <c r="L38" s="7" t="n">
        <v>0</v>
      </c>
      <c r="M38" s="7" t="n">
        <v>0</v>
      </c>
      <c r="N38" s="8">
        <f>C38*Criteria!$E$2+D38*Criteria!$E$3+E38*Criteria!$E$4+F38*Criteria!$E$5+G38*Criteria!$E$6+H38*Criteria!$E$7+I38*Criteria!$E$8+J38*Criteria!$E$9+K38*Criteria!$E$10</f>
        <v/>
      </c>
      <c r="O38" s="9">
        <f>N38/Criteria!$F$14</f>
        <v/>
      </c>
      <c r="P38" s="8">
        <f>L38+M38</f>
        <v/>
      </c>
      <c r="Q38" s="8">
        <f>RANK(N38,$N$2:$N$57)</f>
        <v/>
      </c>
      <c r="R38" s="6" t="inlineStr">
        <is>
          <t>Law signed in 2026, takes effect January 1, 2027; other scores rise then.</t>
        </is>
      </c>
    </row>
    <row r="39">
      <c r="A39" s="6" t="inlineStr">
        <is>
          <t>Oregon</t>
        </is>
      </c>
      <c r="B39" s="6" t="inlineStr">
        <is>
          <t>State</t>
        </is>
      </c>
      <c r="C39" s="7" t="n">
        <v>3</v>
      </c>
      <c r="D39" s="7" t="n">
        <v>1</v>
      </c>
      <c r="E39" s="7" t="n">
        <v>3</v>
      </c>
      <c r="F39" s="7" t="n">
        <v>2</v>
      </c>
      <c r="G39" s="7" t="n">
        <v>2</v>
      </c>
      <c r="H39" s="7" t="n">
        <v>2</v>
      </c>
      <c r="I39" s="7" t="n">
        <v>2</v>
      </c>
      <c r="J39" s="7" t="n">
        <v>1</v>
      </c>
      <c r="K39" s="7" t="n">
        <v>2</v>
      </c>
      <c r="L39" s="7" t="n">
        <v>0</v>
      </c>
      <c r="M39" s="7" t="n">
        <v>0</v>
      </c>
      <c r="N39" s="8">
        <f>C39*Criteria!$E$2+D39*Criteria!$E$3+E39*Criteria!$E$4+F39*Criteria!$E$5+G39*Criteria!$E$6+H39*Criteria!$E$7+I39*Criteria!$E$8+J39*Criteria!$E$9+K39*Criteria!$E$10</f>
        <v/>
      </c>
      <c r="O39" s="9">
        <f>N39/Criteria!$F$14</f>
        <v/>
      </c>
      <c r="P39" s="8">
        <f>L39+M39</f>
        <v/>
      </c>
      <c r="Q39" s="8">
        <f>RANK(N39,$N$2:$N$57)</f>
        <v/>
      </c>
      <c r="R39" s="6" t="inlineStr">
        <is>
          <t>Runs a data broker registry. DOJ publishes annual and quarterly privacy enforcement reports.</t>
        </is>
      </c>
    </row>
    <row r="40">
      <c r="A40" s="6" t="inlineStr">
        <is>
          <t>Pennsylvania</t>
        </is>
      </c>
      <c r="B40" s="6" t="inlineStr">
        <is>
          <t>State</t>
        </is>
      </c>
      <c r="C40" s="7" t="n">
        <v>0</v>
      </c>
      <c r="D40" s="7" t="n">
        <v>0</v>
      </c>
      <c r="E40" s="7" t="n">
        <v>0</v>
      </c>
      <c r="F40" s="7" t="n">
        <v>0</v>
      </c>
      <c r="G40" s="7" t="n">
        <v>0</v>
      </c>
      <c r="H40" s="7" t="n">
        <v>0</v>
      </c>
      <c r="I40" s="7" t="n">
        <v>0</v>
      </c>
      <c r="J40" s="7" t="n">
        <v>1</v>
      </c>
      <c r="K40" s="7" t="n">
        <v>2</v>
      </c>
      <c r="L40" s="7" t="n">
        <v>0</v>
      </c>
      <c r="M40" s="7" t="n">
        <v>0</v>
      </c>
      <c r="N40" s="8">
        <f>C40*Criteria!$E$2+D40*Criteria!$E$3+E40*Criteria!$E$4+F40*Criteria!$E$5+G40*Criteria!$E$6+H40*Criteria!$E$7+I40*Criteria!$E$8+J40*Criteria!$E$9+K40*Criteria!$E$10</f>
        <v/>
      </c>
      <c r="O40" s="9">
        <f>N40/Criteria!$F$14</f>
        <v/>
      </c>
      <c r="P40" s="8">
        <f>L40+M40</f>
        <v/>
      </c>
      <c r="Q40" s="8">
        <f>RANK(N40,$N$2:$N$57)</f>
        <v/>
      </c>
      <c r="R40" s="6" t="inlineStr"/>
    </row>
    <row r="41">
      <c r="A41" s="6" t="inlineStr">
        <is>
          <t>Rhode Island</t>
        </is>
      </c>
      <c r="B41" s="6" t="inlineStr">
        <is>
          <t>State</t>
        </is>
      </c>
      <c r="C41" s="7" t="n">
        <v>3</v>
      </c>
      <c r="D41" s="7" t="n">
        <v>1</v>
      </c>
      <c r="E41" s="7" t="n">
        <v>3</v>
      </c>
      <c r="F41" s="7" t="n">
        <v>1</v>
      </c>
      <c r="G41" s="7" t="n">
        <v>2</v>
      </c>
      <c r="H41" s="7" t="n">
        <v>1</v>
      </c>
      <c r="I41" s="7" t="n">
        <v>0</v>
      </c>
      <c r="J41" s="7" t="n">
        <v>1</v>
      </c>
      <c r="K41" s="7" t="n">
        <v>2</v>
      </c>
      <c r="L41" s="7" t="n">
        <v>0</v>
      </c>
      <c r="M41" s="7" t="n">
        <v>0</v>
      </c>
      <c r="N41" s="8">
        <f>C41*Criteria!$E$2+D41*Criteria!$E$3+E41*Criteria!$E$4+F41*Criteria!$E$5+G41*Criteria!$E$6+H41*Criteria!$E$7+I41*Criteria!$E$8+J41*Criteria!$E$9+K41*Criteria!$E$10</f>
        <v/>
      </c>
      <c r="O41" s="9">
        <f>N41/Criteria!$F$14</f>
        <v/>
      </c>
      <c r="P41" s="8">
        <f>L41+M41</f>
        <v/>
      </c>
      <c r="Q41" s="8">
        <f>RANK(N41,$N$2:$N$57)</f>
        <v/>
      </c>
      <c r="R41" s="6" t="inlineStr"/>
    </row>
    <row r="42">
      <c r="A42" s="6" t="inlineStr">
        <is>
          <t>South Carolina</t>
        </is>
      </c>
      <c r="B42" s="6" t="inlineStr">
        <is>
          <t>State</t>
        </is>
      </c>
      <c r="C42" s="7" t="n">
        <v>0</v>
      </c>
      <c r="D42" s="7" t="n">
        <v>0</v>
      </c>
      <c r="E42" s="7" t="n">
        <v>0</v>
      </c>
      <c r="F42" s="7" t="n">
        <v>0</v>
      </c>
      <c r="G42" s="7" t="n">
        <v>0</v>
      </c>
      <c r="H42" s="7" t="n">
        <v>0</v>
      </c>
      <c r="I42" s="7" t="n">
        <v>0</v>
      </c>
      <c r="J42" s="7" t="n">
        <v>1</v>
      </c>
      <c r="K42" s="7" t="n">
        <v>2</v>
      </c>
      <c r="L42" s="7" t="n">
        <v>2</v>
      </c>
      <c r="M42" s="7" t="n">
        <v>0</v>
      </c>
      <c r="N42" s="8">
        <f>C42*Criteria!$E$2+D42*Criteria!$E$3+E42*Criteria!$E$4+F42*Criteria!$E$5+G42*Criteria!$E$6+H42*Criteria!$E$7+I42*Criteria!$E$8+J42*Criteria!$E$9+K42*Criteria!$E$10</f>
        <v/>
      </c>
      <c r="O42" s="9">
        <f>N42/Criteria!$F$14</f>
        <v/>
      </c>
      <c r="P42" s="8">
        <f>L42+M42</f>
        <v/>
      </c>
      <c r="Q42" s="8">
        <f>RANK(N42,$N$2:$N$57)</f>
        <v/>
      </c>
      <c r="R42" s="6" t="inlineStr"/>
    </row>
    <row r="43">
      <c r="A43" s="6" t="inlineStr">
        <is>
          <t>South Dakota</t>
        </is>
      </c>
      <c r="B43" s="6" t="inlineStr">
        <is>
          <t>State</t>
        </is>
      </c>
      <c r="C43" s="7" t="n">
        <v>0</v>
      </c>
      <c r="D43" s="7" t="n">
        <v>0</v>
      </c>
      <c r="E43" s="7" t="n">
        <v>0</v>
      </c>
      <c r="F43" s="7" t="n">
        <v>0</v>
      </c>
      <c r="G43" s="7" t="n">
        <v>0</v>
      </c>
      <c r="H43" s="7" t="n">
        <v>0</v>
      </c>
      <c r="I43" s="7" t="n">
        <v>0</v>
      </c>
      <c r="J43" s="7" t="n">
        <v>1</v>
      </c>
      <c r="K43" s="7" t="n">
        <v>2</v>
      </c>
      <c r="L43" s="7" t="n">
        <v>0</v>
      </c>
      <c r="M43" s="7" t="n">
        <v>0</v>
      </c>
      <c r="N43" s="8">
        <f>C43*Criteria!$E$2+D43*Criteria!$E$3+E43*Criteria!$E$4+F43*Criteria!$E$5+G43*Criteria!$E$6+H43*Criteria!$E$7+I43*Criteria!$E$8+J43*Criteria!$E$9+K43*Criteria!$E$10</f>
        <v/>
      </c>
      <c r="O43" s="9">
        <f>N43/Criteria!$F$14</f>
        <v/>
      </c>
      <c r="P43" s="8">
        <f>L43+M43</f>
        <v/>
      </c>
      <c r="Q43" s="8">
        <f>RANK(N43,$N$2:$N$57)</f>
        <v/>
      </c>
      <c r="R43" s="6" t="inlineStr"/>
    </row>
    <row r="44">
      <c r="A44" s="6" t="inlineStr">
        <is>
          <t>Tennessee</t>
        </is>
      </c>
      <c r="B44" s="6" t="inlineStr">
        <is>
          <t>State</t>
        </is>
      </c>
      <c r="C44" s="7" t="n">
        <v>3</v>
      </c>
      <c r="D44" s="7" t="n">
        <v>1</v>
      </c>
      <c r="E44" s="7" t="n">
        <v>3</v>
      </c>
      <c r="F44" s="7" t="n">
        <v>1</v>
      </c>
      <c r="G44" s="7" t="n">
        <v>2</v>
      </c>
      <c r="H44" s="7" t="n">
        <v>1</v>
      </c>
      <c r="I44" s="7" t="n">
        <v>0</v>
      </c>
      <c r="J44" s="7" t="n">
        <v>1</v>
      </c>
      <c r="K44" s="7" t="n">
        <v>2</v>
      </c>
      <c r="L44" s="7" t="n">
        <v>0</v>
      </c>
      <c r="M44" s="7" t="n">
        <v>0</v>
      </c>
      <c r="N44" s="8">
        <f>C44*Criteria!$E$2+D44*Criteria!$E$3+E44*Criteria!$E$4+F44*Criteria!$E$5+G44*Criteria!$E$6+H44*Criteria!$E$7+I44*Criteria!$E$8+J44*Criteria!$E$9+K44*Criteria!$E$10</f>
        <v/>
      </c>
      <c r="O44" s="9">
        <f>N44/Criteria!$F$14</f>
        <v/>
      </c>
      <c r="P44" s="8">
        <f>L44+M44</f>
        <v/>
      </c>
      <c r="Q44" s="8">
        <f>RANK(N44,$N$2:$N$57)</f>
        <v/>
      </c>
      <c r="R44" s="6" t="inlineStr"/>
    </row>
    <row r="45">
      <c r="A45" s="6" t="inlineStr">
        <is>
          <t>Texas</t>
        </is>
      </c>
      <c r="B45" s="6" t="inlineStr">
        <is>
          <t>State</t>
        </is>
      </c>
      <c r="C45" s="7" t="n">
        <v>3</v>
      </c>
      <c r="D45" s="7" t="n">
        <v>1</v>
      </c>
      <c r="E45" s="7" t="n">
        <v>3</v>
      </c>
      <c r="F45" s="7" t="n">
        <v>2</v>
      </c>
      <c r="G45" s="7" t="n">
        <v>2</v>
      </c>
      <c r="H45" s="7" t="n">
        <v>2</v>
      </c>
      <c r="I45" s="7" t="n">
        <v>3</v>
      </c>
      <c r="J45" s="7" t="n">
        <v>1</v>
      </c>
      <c r="K45" s="7" t="n">
        <v>2</v>
      </c>
      <c r="L45" s="7" t="n">
        <v>0</v>
      </c>
      <c r="M45" s="7" t="n">
        <v>0</v>
      </c>
      <c r="N45" s="8">
        <f>C45*Criteria!$E$2+D45*Criteria!$E$3+E45*Criteria!$E$4+F45*Criteria!$E$5+G45*Criteria!$E$6+H45*Criteria!$E$7+I45*Criteria!$E$8+J45*Criteria!$E$9+K45*Criteria!$E$10</f>
        <v/>
      </c>
      <c r="O45" s="9">
        <f>N45/Criteria!$F$14</f>
        <v/>
      </c>
      <c r="P45" s="8">
        <f>L45+M45</f>
        <v/>
      </c>
      <c r="Q45" s="8">
        <f>RANK(N45,$N$2:$N$57)</f>
        <v/>
      </c>
      <c r="R45" s="6" t="inlineStr">
        <is>
          <t>Runs a data broker registry. Billion-dollar biometric privacy settlements (Meta 2024, Google 2025) and a TDPSA lawsuit.</t>
        </is>
      </c>
    </row>
    <row r="46">
      <c r="A46" s="6" t="inlineStr">
        <is>
          <t>Utah</t>
        </is>
      </c>
      <c r="B46" s="6" t="inlineStr">
        <is>
          <t>State</t>
        </is>
      </c>
      <c r="C46" s="7" t="n">
        <v>3</v>
      </c>
      <c r="D46" s="7" t="n">
        <v>0</v>
      </c>
      <c r="E46" s="7" t="n">
        <v>2</v>
      </c>
      <c r="F46" s="7" t="n">
        <v>1</v>
      </c>
      <c r="G46" s="7" t="n">
        <v>1</v>
      </c>
      <c r="H46" s="7" t="n">
        <v>1</v>
      </c>
      <c r="I46" s="7" t="n">
        <v>1</v>
      </c>
      <c r="J46" s="7" t="n">
        <v>1</v>
      </c>
      <c r="K46" s="7" t="n">
        <v>2</v>
      </c>
      <c r="L46" s="7" t="n">
        <v>0</v>
      </c>
      <c r="M46" s="7" t="n">
        <v>3</v>
      </c>
      <c r="N46" s="8">
        <f>C46*Criteria!$E$2+D46*Criteria!$E$3+E46*Criteria!$E$4+F46*Criteria!$E$5+G46*Criteria!$E$6+H46*Criteria!$E$7+I46*Criteria!$E$8+J46*Criteria!$E$9+K46*Criteria!$E$10</f>
        <v/>
      </c>
      <c r="O46" s="9">
        <f>N46/Criteria!$F$14</f>
        <v/>
      </c>
      <c r="P46" s="8">
        <f>L46+M46</f>
        <v/>
      </c>
      <c r="Q46" s="8">
        <f>RANK(N46,$N$2:$N$57)</f>
        <v/>
      </c>
      <c r="R46" s="6" t="inlineStr">
        <is>
          <t>No right to correct data; weaker collection and sensitive-data rules. AG sued Snap under the Utah Consumer Privacy Act (2025).</t>
        </is>
      </c>
    </row>
    <row r="47">
      <c r="A47" s="6" t="inlineStr">
        <is>
          <t>Vermont</t>
        </is>
      </c>
      <c r="B47" s="6" t="inlineStr">
        <is>
          <t>State</t>
        </is>
      </c>
      <c r="C47" s="7" t="n">
        <v>1</v>
      </c>
      <c r="D47" s="7" t="n">
        <v>0</v>
      </c>
      <c r="E47" s="7" t="n">
        <v>0</v>
      </c>
      <c r="F47" s="7" t="n">
        <v>2</v>
      </c>
      <c r="G47" s="7" t="n">
        <v>0</v>
      </c>
      <c r="H47" s="7" t="n">
        <v>0</v>
      </c>
      <c r="I47" s="7" t="n">
        <v>0</v>
      </c>
      <c r="J47" s="7" t="n">
        <v>1</v>
      </c>
      <c r="K47" s="7" t="n">
        <v>2</v>
      </c>
      <c r="L47" s="7" t="n">
        <v>0</v>
      </c>
      <c r="M47" s="7" t="n">
        <v>0</v>
      </c>
      <c r="N47" s="8">
        <f>C47*Criteria!$E$2+D47*Criteria!$E$3+E47*Criteria!$E$4+F47*Criteria!$E$5+G47*Criteria!$E$6+H47*Criteria!$E$7+I47*Criteria!$E$8+J47*Criteria!$E$9+K47*Criteria!$E$10</f>
        <v/>
      </c>
      <c r="O47" s="9">
        <f>N47/Criteria!$F$14</f>
        <v/>
      </c>
      <c r="P47" s="8">
        <f>L47+M47</f>
        <v/>
      </c>
      <c r="Q47" s="8">
        <f>RANK(N47,$N$2:$N$57)</f>
        <v/>
      </c>
      <c r="R47" s="6" t="inlineStr">
        <is>
          <t>Law signed in 2026, takes effect January 1, 2028; other scores rise then. Runs a data broker registry.</t>
        </is>
      </c>
    </row>
    <row r="48">
      <c r="A48" s="6" t="inlineStr">
        <is>
          <t>Virginia</t>
        </is>
      </c>
      <c r="B48" s="6" t="inlineStr">
        <is>
          <t>State</t>
        </is>
      </c>
      <c r="C48" s="7" t="n">
        <v>3</v>
      </c>
      <c r="D48" s="7" t="n">
        <v>1</v>
      </c>
      <c r="E48" s="7" t="n">
        <v>3</v>
      </c>
      <c r="F48" s="7" t="n">
        <v>1</v>
      </c>
      <c r="G48" s="7" t="n">
        <v>2</v>
      </c>
      <c r="H48" s="7" t="n">
        <v>1</v>
      </c>
      <c r="I48" s="7" t="n">
        <v>0</v>
      </c>
      <c r="J48" s="7" t="n">
        <v>1</v>
      </c>
      <c r="K48" s="7" t="n">
        <v>2</v>
      </c>
      <c r="L48" s="7" t="n">
        <v>0</v>
      </c>
      <c r="M48" s="7" t="n">
        <v>2</v>
      </c>
      <c r="N48" s="8">
        <f>C48*Criteria!$E$2+D48*Criteria!$E$3+E48*Criteria!$E$4+F48*Criteria!$E$5+G48*Criteria!$E$6+H48*Criteria!$E$7+I48*Criteria!$E$8+J48*Criteria!$E$9+K48*Criteria!$E$10</f>
        <v/>
      </c>
      <c r="O48" s="9">
        <f>N48/Criteria!$F$14</f>
        <v/>
      </c>
      <c r="P48" s="8">
        <f>L48+M48</f>
        <v/>
      </c>
      <c r="Q48" s="8">
        <f>RANK(N48,$N$2:$N$57)</f>
        <v/>
      </c>
      <c r="R48" s="6" t="inlineStr"/>
    </row>
    <row r="49">
      <c r="A49" s="6" t="inlineStr">
        <is>
          <t>Washington</t>
        </is>
      </c>
      <c r="B49" s="6" t="inlineStr">
        <is>
          <t>State</t>
        </is>
      </c>
      <c r="C49" s="7" t="n">
        <v>0</v>
      </c>
      <c r="D49" s="7" t="n">
        <v>0</v>
      </c>
      <c r="E49" s="7" t="n">
        <v>0</v>
      </c>
      <c r="F49" s="7" t="n">
        <v>0</v>
      </c>
      <c r="G49" s="7" t="n">
        <v>2</v>
      </c>
      <c r="H49" s="7" t="n">
        <v>0</v>
      </c>
      <c r="I49" s="7" t="n">
        <v>0</v>
      </c>
      <c r="J49" s="7" t="n">
        <v>2</v>
      </c>
      <c r="K49" s="7" t="n">
        <v>3</v>
      </c>
      <c r="L49" s="7" t="n">
        <v>2</v>
      </c>
      <c r="M49" s="7" t="n">
        <v>1</v>
      </c>
      <c r="N49" s="8">
        <f>C49*Criteria!$E$2+D49*Criteria!$E$3+E49*Criteria!$E$4+F49*Criteria!$E$5+G49*Criteria!$E$6+H49*Criteria!$E$7+I49*Criteria!$E$8+J49*Criteria!$E$9+K49*Criteria!$E$10</f>
        <v/>
      </c>
      <c r="O49" s="9">
        <f>N49/Criteria!$F$14</f>
        <v/>
      </c>
      <c r="P49" s="8">
        <f>L49+M49</f>
        <v/>
      </c>
      <c r="Q49" s="8">
        <f>RANK(N49,$N$2:$N$57)</f>
        <v/>
      </c>
      <c r="R49" s="6" t="inlineStr">
        <is>
          <t>No comprehensive law, but the My Health My Data Act protects health data with a private right to sue.</t>
        </is>
      </c>
    </row>
    <row r="50">
      <c r="A50" s="6" t="inlineStr">
        <is>
          <t>West Virginia</t>
        </is>
      </c>
      <c r="B50" s="6" t="inlineStr">
        <is>
          <t>State</t>
        </is>
      </c>
      <c r="C50" s="7" t="n">
        <v>0</v>
      </c>
      <c r="D50" s="7" t="n">
        <v>0</v>
      </c>
      <c r="E50" s="7" t="n">
        <v>0</v>
      </c>
      <c r="F50" s="7" t="n">
        <v>0</v>
      </c>
      <c r="G50" s="7" t="n">
        <v>0</v>
      </c>
      <c r="H50" s="7" t="n">
        <v>0</v>
      </c>
      <c r="I50" s="7" t="n">
        <v>0</v>
      </c>
      <c r="J50" s="7" t="n">
        <v>1</v>
      </c>
      <c r="K50" s="7" t="n">
        <v>2</v>
      </c>
      <c r="L50" s="7" t="n">
        <v>0</v>
      </c>
      <c r="M50" s="7" t="n">
        <v>0</v>
      </c>
      <c r="N50" s="8">
        <f>C50*Criteria!$E$2+D50*Criteria!$E$3+E50*Criteria!$E$4+F50*Criteria!$E$5+G50*Criteria!$E$6+H50*Criteria!$E$7+I50*Criteria!$E$8+J50*Criteria!$E$9+K50*Criteria!$E$10</f>
        <v/>
      </c>
      <c r="O50" s="9">
        <f>N50/Criteria!$F$14</f>
        <v/>
      </c>
      <c r="P50" s="8">
        <f>L50+M50</f>
        <v/>
      </c>
      <c r="Q50" s="8">
        <f>RANK(N50,$N$2:$N$57)</f>
        <v/>
      </c>
      <c r="R50" s="6" t="inlineStr"/>
    </row>
    <row r="51">
      <c r="A51" s="6" t="inlineStr">
        <is>
          <t>Wisconsin</t>
        </is>
      </c>
      <c r="B51" s="6" t="inlineStr">
        <is>
          <t>State</t>
        </is>
      </c>
      <c r="C51" s="7" t="n">
        <v>0</v>
      </c>
      <c r="D51" s="7" t="n">
        <v>0</v>
      </c>
      <c r="E51" s="7" t="n">
        <v>0</v>
      </c>
      <c r="F51" s="7" t="n">
        <v>0</v>
      </c>
      <c r="G51" s="7" t="n">
        <v>0</v>
      </c>
      <c r="H51" s="7" t="n">
        <v>0</v>
      </c>
      <c r="I51" s="7" t="n">
        <v>0</v>
      </c>
      <c r="J51" s="7" t="n">
        <v>1</v>
      </c>
      <c r="K51" s="7" t="n">
        <v>2</v>
      </c>
      <c r="L51" s="7" t="n">
        <v>0</v>
      </c>
      <c r="M51" s="7" t="n">
        <v>0</v>
      </c>
      <c r="N51" s="8">
        <f>C51*Criteria!$E$2+D51*Criteria!$E$3+E51*Criteria!$E$4+F51*Criteria!$E$5+G51*Criteria!$E$6+H51*Criteria!$E$7+I51*Criteria!$E$8+J51*Criteria!$E$9+K51*Criteria!$E$10</f>
        <v/>
      </c>
      <c r="O51" s="9">
        <f>N51/Criteria!$F$14</f>
        <v/>
      </c>
      <c r="P51" s="8">
        <f>L51+M51</f>
        <v/>
      </c>
      <c r="Q51" s="8">
        <f>RANK(N51,$N$2:$N$57)</f>
        <v/>
      </c>
      <c r="R51" s="6" t="inlineStr"/>
    </row>
    <row r="52">
      <c r="A52" s="6" t="inlineStr">
        <is>
          <t>Wyoming</t>
        </is>
      </c>
      <c r="B52" s="6" t="inlineStr">
        <is>
          <t>State</t>
        </is>
      </c>
      <c r="C52" s="7" t="n">
        <v>0</v>
      </c>
      <c r="D52" s="7" t="n">
        <v>0</v>
      </c>
      <c r="E52" s="7" t="n">
        <v>0</v>
      </c>
      <c r="F52" s="7" t="n">
        <v>0</v>
      </c>
      <c r="G52" s="7" t="n">
        <v>0</v>
      </c>
      <c r="H52" s="7" t="n">
        <v>0</v>
      </c>
      <c r="I52" s="7" t="n">
        <v>0</v>
      </c>
      <c r="J52" s="7" t="n">
        <v>1</v>
      </c>
      <c r="K52" s="7" t="n">
        <v>2</v>
      </c>
      <c r="L52" s="7" t="n">
        <v>0</v>
      </c>
      <c r="M52" s="7" t="n">
        <v>0</v>
      </c>
      <c r="N52" s="8">
        <f>C52*Criteria!$E$2+D52*Criteria!$E$3+E52*Criteria!$E$4+F52*Criteria!$E$5+G52*Criteria!$E$6+H52*Criteria!$E$7+I52*Criteria!$E$8+J52*Criteria!$E$9+K52*Criteria!$E$10</f>
        <v/>
      </c>
      <c r="O52" s="9">
        <f>N52/Criteria!$F$14</f>
        <v/>
      </c>
      <c r="P52" s="8">
        <f>L52+M52</f>
        <v/>
      </c>
      <c r="Q52" s="8">
        <f>RANK(N52,$N$2:$N$57)</f>
        <v/>
      </c>
      <c r="R52" s="6" t="inlineStr"/>
    </row>
    <row r="53">
      <c r="A53" s="6" t="inlineStr">
        <is>
          <t>Puerto Rico</t>
        </is>
      </c>
      <c r="B53" s="6" t="inlineStr">
        <is>
          <t>Territory</t>
        </is>
      </c>
      <c r="C53" s="7" t="n">
        <v>0</v>
      </c>
      <c r="D53" s="7" t="n">
        <v>0</v>
      </c>
      <c r="E53" s="7" t="n">
        <v>0</v>
      </c>
      <c r="F53" s="7" t="n">
        <v>0</v>
      </c>
      <c r="G53" s="7" t="n">
        <v>0</v>
      </c>
      <c r="H53" s="7" t="n">
        <v>0</v>
      </c>
      <c r="I53" s="7" t="n">
        <v>0</v>
      </c>
      <c r="J53" s="7" t="n">
        <v>1</v>
      </c>
      <c r="K53" s="7" t="n">
        <v>2</v>
      </c>
      <c r="L53" s="7" t="n">
        <v>2</v>
      </c>
      <c r="M53" s="7" t="n">
        <v>0</v>
      </c>
      <c r="N53" s="8">
        <f>C53*Criteria!$E$2+D53*Criteria!$E$3+E53*Criteria!$E$4+F53*Criteria!$E$5+G53*Criteria!$E$6+H53*Criteria!$E$7+I53*Criteria!$E$8+J53*Criteria!$E$9+K53*Criteria!$E$10</f>
        <v/>
      </c>
      <c r="O53" s="9">
        <f>N53/Criteria!$F$14</f>
        <v/>
      </c>
      <c r="P53" s="8">
        <f>L53+M53</f>
        <v/>
      </c>
      <c r="Q53" s="8">
        <f>RANK(N53,$N$2:$N$57)</f>
        <v/>
      </c>
      <c r="R53" s="6" t="inlineStr"/>
    </row>
    <row r="54">
      <c r="A54" s="6" t="inlineStr">
        <is>
          <t>Guam</t>
        </is>
      </c>
      <c r="B54" s="6" t="inlineStr">
        <is>
          <t>Territory</t>
        </is>
      </c>
      <c r="C54" s="7" t="n">
        <v>0</v>
      </c>
      <c r="D54" s="7" t="n">
        <v>0</v>
      </c>
      <c r="E54" s="7" t="n">
        <v>0</v>
      </c>
      <c r="F54" s="7" t="n">
        <v>0</v>
      </c>
      <c r="G54" s="7" t="n">
        <v>0</v>
      </c>
      <c r="H54" s="7" t="n">
        <v>0</v>
      </c>
      <c r="I54" s="7" t="n">
        <v>0</v>
      </c>
      <c r="J54" s="7" t="n">
        <v>1</v>
      </c>
      <c r="K54" s="7" t="n">
        <v>2</v>
      </c>
      <c r="L54" s="7" t="n">
        <v>0</v>
      </c>
      <c r="M54" s="7" t="n">
        <v>0</v>
      </c>
      <c r="N54" s="8">
        <f>C54*Criteria!$E$2+D54*Criteria!$E$3+E54*Criteria!$E$4+F54*Criteria!$E$5+G54*Criteria!$E$6+H54*Criteria!$E$7+I54*Criteria!$E$8+J54*Criteria!$E$9+K54*Criteria!$E$10</f>
        <v/>
      </c>
      <c r="O54" s="9">
        <f>N54/Criteria!$F$14</f>
        <v/>
      </c>
      <c r="P54" s="8">
        <f>L54+M54</f>
        <v/>
      </c>
      <c r="Q54" s="8">
        <f>RANK(N54,$N$2:$N$57)</f>
        <v/>
      </c>
      <c r="R54" s="6" t="inlineStr"/>
    </row>
    <row r="55">
      <c r="A55" s="6" t="inlineStr">
        <is>
          <t>U.S. Virgin Islands</t>
        </is>
      </c>
      <c r="B55" s="6" t="inlineStr">
        <is>
          <t>Territory</t>
        </is>
      </c>
      <c r="C55" s="7" t="n">
        <v>0</v>
      </c>
      <c r="D55" s="7" t="n">
        <v>0</v>
      </c>
      <c r="E55" s="7" t="n">
        <v>0</v>
      </c>
      <c r="F55" s="7" t="n">
        <v>0</v>
      </c>
      <c r="G55" s="7" t="n">
        <v>0</v>
      </c>
      <c r="H55" s="7" t="n">
        <v>0</v>
      </c>
      <c r="I55" s="7" t="n">
        <v>0</v>
      </c>
      <c r="J55" s="7" t="n">
        <v>1</v>
      </c>
      <c r="K55" s="7" t="n">
        <v>2</v>
      </c>
      <c r="L55" s="7" t="n">
        <v>0</v>
      </c>
      <c r="M55" s="7" t="n">
        <v>0</v>
      </c>
      <c r="N55" s="8">
        <f>C55*Criteria!$E$2+D55*Criteria!$E$3+E55*Criteria!$E$4+F55*Criteria!$E$5+G55*Criteria!$E$6+H55*Criteria!$E$7+I55*Criteria!$E$8+J55*Criteria!$E$9+K55*Criteria!$E$10</f>
        <v/>
      </c>
      <c r="O55" s="9">
        <f>N55/Criteria!$F$14</f>
        <v/>
      </c>
      <c r="P55" s="8">
        <f>L55+M55</f>
        <v/>
      </c>
      <c r="Q55" s="8">
        <f>RANK(N55,$N$2:$N$57)</f>
        <v/>
      </c>
      <c r="R55" s="6" t="inlineStr"/>
    </row>
    <row r="56">
      <c r="A56" s="6" t="inlineStr">
        <is>
          <t>American Samoa</t>
        </is>
      </c>
      <c r="B56" s="6" t="inlineStr">
        <is>
          <t>Territory</t>
        </is>
      </c>
      <c r="C56" s="7" t="n">
        <v>0</v>
      </c>
      <c r="D56" s="7" t="n">
        <v>0</v>
      </c>
      <c r="E56" s="7" t="n">
        <v>0</v>
      </c>
      <c r="F56" s="7" t="n">
        <v>0</v>
      </c>
      <c r="G56" s="7" t="n">
        <v>0</v>
      </c>
      <c r="H56" s="7" t="n">
        <v>0</v>
      </c>
      <c r="I56" s="7" t="n">
        <v>0</v>
      </c>
      <c r="J56" s="7" t="n">
        <v>1</v>
      </c>
      <c r="K56" s="7" t="n">
        <v>0</v>
      </c>
      <c r="L56" s="7" t="n">
        <v>0</v>
      </c>
      <c r="M56" s="7" t="n">
        <v>0</v>
      </c>
      <c r="N56" s="8">
        <f>C56*Criteria!$E$2+D56*Criteria!$E$3+E56*Criteria!$E$4+F56*Criteria!$E$5+G56*Criteria!$E$6+H56*Criteria!$E$7+I56*Criteria!$E$8+J56*Criteria!$E$9+K56*Criteria!$E$10</f>
        <v/>
      </c>
      <c r="O56" s="9">
        <f>N56/Criteria!$F$14</f>
        <v/>
      </c>
      <c r="P56" s="8">
        <f>L56+M56</f>
        <v/>
      </c>
      <c r="Q56" s="8">
        <f>RANK(N56,$N$2:$N$57)</f>
        <v/>
      </c>
      <c r="R56" s="6" t="inlineStr">
        <is>
          <t>No breach notification law found in the sources reviewed.</t>
        </is>
      </c>
    </row>
    <row r="57">
      <c r="A57" s="6" t="inlineStr">
        <is>
          <t>Northern Mariana Islands</t>
        </is>
      </c>
      <c r="B57" s="6" t="inlineStr">
        <is>
          <t>Territory</t>
        </is>
      </c>
      <c r="C57" s="7" t="n">
        <v>0</v>
      </c>
      <c r="D57" s="7" t="n">
        <v>0</v>
      </c>
      <c r="E57" s="7" t="n">
        <v>0</v>
      </c>
      <c r="F57" s="7" t="n">
        <v>0</v>
      </c>
      <c r="G57" s="7" t="n">
        <v>0</v>
      </c>
      <c r="H57" s="7" t="n">
        <v>0</v>
      </c>
      <c r="I57" s="7" t="n">
        <v>0</v>
      </c>
      <c r="J57" s="7" t="n">
        <v>1</v>
      </c>
      <c r="K57" s="7" t="n">
        <v>0</v>
      </c>
      <c r="L57" s="7" t="n">
        <v>0</v>
      </c>
      <c r="M57" s="7" t="n">
        <v>0</v>
      </c>
      <c r="N57" s="8">
        <f>C57*Criteria!$E$2+D57*Criteria!$E$3+E57*Criteria!$E$4+F57*Criteria!$E$5+G57*Criteria!$E$6+H57*Criteria!$E$7+I57*Criteria!$E$8+J57*Criteria!$E$9+K57*Criteria!$E$10</f>
        <v/>
      </c>
      <c r="O57" s="9">
        <f>N57/Criteria!$F$14</f>
        <v/>
      </c>
      <c r="P57" s="8">
        <f>L57+M57</f>
        <v/>
      </c>
      <c r="Q57" s="8">
        <f>RANK(N57,$N$2:$N$57)</f>
        <v/>
      </c>
      <c r="R57" s="6" t="inlineStr">
        <is>
          <t>No breach notification law found in the sources reviewed.</t>
        </is>
      </c>
    </row>
  </sheetData>
  <autoFilter ref="A1:R57"/>
  <conditionalFormatting sqref="C2:M57">
    <cfRule type="colorScale" priority="1">
      <colorScale>
        <cfvo type="num" val="0"/>
        <cfvo type="num" val="1.5"/>
        <cfvo type="num" val="3"/>
        <color rgb="00F4F1E8"/>
        <color rgb="00E9C46A"/>
        <color rgb="002E9E5B"/>
      </colorScale>
    </cfRule>
  </conditionalFormatting>
  <conditionalFormatting sqref="O2:O57">
    <cfRule type="colorScale" priority="2">
      <colorScale>
        <cfvo type="num" val="0"/>
        <cfvo type="num" val="0.4"/>
        <cfvo type="num" val="0.8"/>
        <color rgb="00F4F1E8"/>
        <color rgb="00E9C46A"/>
        <color rgb="002E9E5B"/>
      </colorScale>
    </cfRule>
  </conditionalFormatting>
  <conditionalFormatting sqref="P2:P57">
    <cfRule type="colorScale" priority="3">
      <colorScale>
        <cfvo type="num" val="0"/>
        <cfvo type="num" val="3"/>
        <cfvo type="num" val="6"/>
        <color rgb="00F4F1E8"/>
        <color rgb="00E9C46A"/>
        <color rgb="002E9E5B"/>
      </colorScale>
    </cfRule>
  </conditionalFormatting>
  <dataValidations count="1">
    <dataValidation sqref="C2:M57" showDropDown="0" showInputMessage="0" showErrorMessage="1" allowBlank="0" error="Scores are whole numbers from 0 to 3." type="whole" operator="between">
      <formula1>0</formula1>
      <formula2>3</formula2>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4" customWidth="1" min="1" max="1"/>
    <col width="22" customWidth="1" min="2" max="2"/>
    <col width="40" customWidth="1" min="3" max="3"/>
    <col width="12" customWidth="1" min="4" max="4"/>
    <col width="8" customWidth="1" min="5" max="5"/>
    <col width="10" customWidth="1" min="6" max="6"/>
    <col width="70" customWidth="1" min="7" max="7"/>
  </cols>
  <sheetData>
    <row r="1">
      <c r="A1" s="10" t="inlineStr">
        <is>
          <t>#</t>
        </is>
      </c>
      <c r="B1" s="10" t="inlineStr">
        <is>
          <t>Criterion</t>
        </is>
      </c>
      <c r="C1" s="10" t="inlineStr">
        <is>
          <t>What it measures</t>
        </is>
      </c>
      <c r="D1" s="10" t="inlineStr">
        <is>
          <t>Score type</t>
        </is>
      </c>
      <c r="E1" s="10" t="inlineStr">
        <is>
          <t>Weight</t>
        </is>
      </c>
      <c r="F1" s="10" t="inlineStr">
        <is>
          <t>Max points</t>
        </is>
      </c>
      <c r="G1" s="10" t="inlineStr">
        <is>
          <t>How it's scored</t>
        </is>
      </c>
    </row>
    <row r="2">
      <c r="A2" s="6" t="n">
        <v>1</v>
      </c>
      <c r="B2" s="6" t="inlineStr">
        <is>
          <t>Comprehensive law</t>
        </is>
      </c>
      <c r="C2" s="6" t="inlineStr">
        <is>
          <t>One law covering most companies and sectors</t>
        </is>
      </c>
      <c r="D2" s="6" t="inlineStr">
        <is>
          <t>Consumer</t>
        </is>
      </c>
      <c r="E2" s="6" t="n">
        <v>1</v>
      </c>
      <c r="F2" s="6">
        <f>3*E2</f>
        <v/>
      </c>
      <c r="G2" s="6" t="inlineStr">
        <is>
          <t>3 broad law in effect · 1 narrow law, or signed but not yet in effect · 0 none</t>
        </is>
      </c>
    </row>
    <row r="3">
      <c r="A3" s="6" t="n">
        <v>2</v>
      </c>
      <c r="B3" s="6" t="inlineStr">
        <is>
          <t>Collection limits</t>
        </is>
      </c>
      <c r="C3" s="6" t="inlineStr">
        <is>
          <t>Limits on collecting more data than needed</t>
        </is>
      </c>
      <c r="D3" s="6" t="inlineStr">
        <is>
          <t>Consumer</t>
        </is>
      </c>
      <c r="E3" s="6" t="n">
        <v>1</v>
      </c>
      <c r="F3" s="6">
        <f>3*E3</f>
        <v/>
      </c>
      <c r="G3" s="6" t="inlineStr">
        <is>
          <t>3 strict 'strictly necessary' standard · 2 purpose limits plus rules · 1 'reasonably necessary' standard · 0 none</t>
        </is>
      </c>
    </row>
    <row r="4">
      <c r="A4" s="6" t="n">
        <v>3</v>
      </c>
      <c r="B4" s="6" t="inlineStr">
        <is>
          <t>Individual rights</t>
        </is>
      </c>
      <c r="C4" s="6" t="inlineStr">
        <is>
          <t>Rights to see, correct, delete and move your data</t>
        </is>
      </c>
      <c r="D4" s="6" t="inlineStr">
        <is>
          <t>Consumer</t>
        </is>
      </c>
      <c r="E4" s="6" t="n">
        <v>1</v>
      </c>
      <c r="F4" s="6">
        <f>3*E4</f>
        <v/>
      </c>
      <c r="G4" s="6" t="inlineStr">
        <is>
          <t>3 all four · 2 missing correction · 1 narrow law · 0 none</t>
        </is>
      </c>
    </row>
    <row r="5">
      <c r="A5" s="6" t="n">
        <v>4</v>
      </c>
      <c r="B5" s="6" t="inlineStr">
        <is>
          <t>Data brokers</t>
        </is>
      </c>
      <c r="C5" s="6" t="inlineStr">
        <is>
          <t>Brokers registered, covered and removable</t>
        </is>
      </c>
      <c r="D5" s="6" t="inlineStr">
        <is>
          <t>Consumer</t>
        </is>
      </c>
      <c r="E5" s="6" t="n">
        <v>1</v>
      </c>
      <c r="F5" s="6">
        <f>3*E5</f>
        <v/>
      </c>
      <c r="G5" s="6" t="inlineStr">
        <is>
          <t>3 registry plus one-step deletion · 2 registry · 1 covered by law (public-records exemption) · 0 none</t>
        </is>
      </c>
    </row>
    <row r="6">
      <c r="A6" s="6" t="n">
        <v>5</v>
      </c>
      <c r="B6" s="6" t="inlineStr">
        <is>
          <t>Sensitive data</t>
        </is>
      </c>
      <c r="C6" s="6" t="inlineStr">
        <is>
          <t>Health, biometric, location and children's data</t>
        </is>
      </c>
      <c r="D6" s="6" t="inlineStr">
        <is>
          <t>Consumer</t>
        </is>
      </c>
      <c r="E6" s="6" t="n">
        <v>1</v>
      </c>
      <c r="F6" s="6">
        <f>3*E6</f>
        <v/>
      </c>
      <c r="G6" s="6" t="inlineStr">
        <is>
          <t>3 sale of sensitive data banned · 2 opt-in consent or strong health/biometric law · 1 notice and opt-out · 0 none</t>
        </is>
      </c>
    </row>
    <row r="7">
      <c r="A7" s="6" t="n">
        <v>6</v>
      </c>
      <c r="B7" s="6" t="inlineStr">
        <is>
          <t>Regulator</t>
        </is>
      </c>
      <c r="C7" s="6" t="inlineStr">
        <is>
          <t>Who enforces, and how dedicated they are</t>
        </is>
      </c>
      <c r="D7" s="6" t="inlineStr">
        <is>
          <t>Consumer</t>
        </is>
      </c>
      <c r="E7" s="6" t="n">
        <v>1</v>
      </c>
      <c r="F7" s="6">
        <f>3*E7</f>
        <v/>
      </c>
      <c r="G7" s="6" t="inlineStr">
        <is>
          <t>3 dedicated privacy agency · 2 AG with published privacy enforcement program · 1 AG enforcement · 0 no privacy law to enforce</t>
        </is>
      </c>
    </row>
    <row r="8">
      <c r="A8" s="6" t="n">
        <v>7</v>
      </c>
      <c r="B8" s="6" t="inlineStr">
        <is>
          <t>Enforcement record</t>
        </is>
      </c>
      <c r="C8" s="6" t="inlineStr">
        <is>
          <t>Penalties actually imposed</t>
        </is>
      </c>
      <c r="D8" s="6" t="inlineStr">
        <is>
          <t>Consumer</t>
        </is>
      </c>
      <c r="E8" s="6" t="n">
        <v>2</v>
      </c>
      <c r="F8" s="6">
        <f>3*E8</f>
        <v/>
      </c>
      <c r="G8" s="6" t="inlineStr">
        <is>
          <t>3 repeated, substantial penalties · 2 several actions or large private judgments · 1 at least one public action · 0 none found</t>
        </is>
      </c>
    </row>
    <row r="9">
      <c r="A9" s="6" t="n">
        <v>8</v>
      </c>
      <c r="B9" s="6" t="inlineStr">
        <is>
          <t>Personal remedies</t>
        </is>
      </c>
      <c r="C9" s="6" t="inlineStr">
        <is>
          <t>Complaints, and the right to sue</t>
        </is>
      </c>
      <c r="D9" s="6" t="inlineStr">
        <is>
          <t>Consumer</t>
        </is>
      </c>
      <c r="E9" s="6" t="n">
        <v>1</v>
      </c>
      <c r="F9" s="6">
        <f>3*E9</f>
        <v/>
      </c>
      <c r="G9" s="6" t="inlineStr">
        <is>
          <t>2 private right to sue in some privacy cases · 1 free AG consumer complaints only · 3 broad private right (none yet)</t>
        </is>
      </c>
    </row>
    <row r="10">
      <c r="A10" s="6" t="n">
        <v>9</v>
      </c>
      <c r="B10" s="6" t="inlineStr">
        <is>
          <t>Breach notification</t>
        </is>
      </c>
      <c r="C10" s="6" t="inlineStr">
        <is>
          <t>Notice when your data leaks</t>
        </is>
      </c>
      <c r="D10" s="6" t="inlineStr">
        <is>
          <t>Consumer</t>
        </is>
      </c>
      <c r="E10" s="6" t="n">
        <v>1</v>
      </c>
      <c r="F10" s="6">
        <f>3*E10</f>
        <v/>
      </c>
      <c r="G10" s="6" t="inlineStr">
        <is>
          <t>3 law with 30-day deadline · 2 law · 0 none found</t>
        </is>
      </c>
    </row>
    <row r="11">
      <c r="A11" s="6" t="n">
        <v>10</v>
      </c>
      <c r="B11" s="6" t="inlineStr">
        <is>
          <t>Constitutional right</t>
        </is>
      </c>
      <c r="C11" s="6" t="inlineStr">
        <is>
          <t>Explicit right to privacy in the state constitution</t>
        </is>
      </c>
      <c r="D11" s="6" t="inlineStr">
        <is>
          <t>Government</t>
        </is>
      </c>
      <c r="E11" s="6" t="n">
        <v>1</v>
      </c>
      <c r="F11" s="6">
        <f>3*E11</f>
        <v/>
      </c>
      <c r="G11" s="6" t="inlineStr">
        <is>
          <t>3 explicit and also applies to private companies · 2 explicit, against government · 0 none explicit</t>
        </is>
      </c>
    </row>
    <row r="12">
      <c r="A12" s="6" t="n">
        <v>11</v>
      </c>
      <c r="B12" s="6" t="inlineStr">
        <is>
          <t>Police access to data</t>
        </is>
      </c>
      <c r="C12" s="6" t="inlineStr">
        <is>
          <t>Warrant rules for location and electronic data, beyond the federal baseline</t>
        </is>
      </c>
      <c r="D12" s="6" t="inlineStr">
        <is>
          <t>Government</t>
        </is>
      </c>
      <c r="E12" s="6" t="n">
        <v>1</v>
      </c>
      <c r="F12" s="6">
        <f>3*E12</f>
        <v/>
      </c>
      <c r="G12" s="6" t="inlineStr">
        <is>
          <t>3 warrant for location (historical and real-time) or electronic data · 2 partial coverage · 1 narrow coverage · 0 federal baseline only</t>
        </is>
      </c>
    </row>
    <row r="13">
      <c r="A13" s="2" t="n"/>
      <c r="B13" s="2" t="n"/>
      <c r="C13" s="2" t="n"/>
      <c r="D13" s="2" t="n"/>
      <c r="E13" s="2" t="n"/>
      <c r="F13" s="2" t="n"/>
      <c r="G13" s="2" t="n"/>
    </row>
    <row r="14">
      <c r="A14" s="3" t="inlineStr"/>
      <c r="B14" s="3" t="inlineStr">
        <is>
          <t>Consumer protection max</t>
        </is>
      </c>
      <c r="C14" s="3" t="inlineStr"/>
      <c r="D14" s="3" t="inlineStr"/>
      <c r="E14" s="3">
        <f>SUMIF(D2:D12,"Consumer",E2:E12)</f>
        <v/>
      </c>
      <c r="F14" s="3">
        <f>SUMIF(D2:D12,"Consumer",F2:F12)</f>
        <v/>
      </c>
      <c r="G14" s="3" t="n"/>
    </row>
    <row r="15">
      <c r="A15" s="3" t="inlineStr"/>
      <c r="B15" s="3" t="inlineStr">
        <is>
          <t>Government max</t>
        </is>
      </c>
      <c r="C15" s="3" t="inlineStr"/>
      <c r="D15" s="3" t="inlineStr"/>
      <c r="E15" s="3">
        <f>SUMIF(D2:D12,"Government",E2:E12)</f>
        <v/>
      </c>
      <c r="F15" s="3">
        <f>SUMIF(D2:D12,"Government",F2:F12)</f>
        <v/>
      </c>
      <c r="G15"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2026-10-30T16:48:05Z</dcterms:created>
  <dcterms:modified xmlns:dcterms="http://purl.org/dc/terms/" xmlns:xsi="http://www.w3.org/2001/XMLSchema-instance" xsi:type="dcterms:W3CDTF">2026-10-30T16:48:05Z</dcterms:modified>
</cp:coreProperties>
</file>